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personal\202512_eb\xx_作業報告書\"/>
    </mc:Choice>
  </mc:AlternateContent>
  <xr:revisionPtr revIDLastSave="14" documentId="13_ncr:1_{C03D3E1C-9184-4D55-A39D-82080F5455D1}" xr6:coauthVersionLast="47" xr6:coauthVersionMax="47" xr10:uidLastSave="{01E3AF07-4AF3-42AC-9B37-5EA6B64CFCBA}"/>
  <bookViews>
    <workbookView xWindow="-120" yWindow="-120" windowWidth="29040" windowHeight="15720" firstSheet="1" activeTab="1" xr2:uid="{00000000-000D-0000-FFFF-FFFF00000000}"/>
  </bookViews>
  <sheets>
    <sheet name="サンプル" sheetId="3" r:id="rId1"/>
    <sheet name="勤務時間報告書" sheetId="5" r:id="rId2"/>
    <sheet name="祝日" sheetId="1" r:id="rId3"/>
  </sheets>
  <definedNames>
    <definedName name="_xlnm.Print_Area" localSheetId="0">サンプル!$A$1:$U$43</definedName>
    <definedName name="_xlnm.Print_Area" localSheetId="1">勤務時間報告書!$A$1:$U$43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5" l="1"/>
  <c r="D37" i="5"/>
  <c r="T37" i="5" s="1"/>
  <c r="U37" i="5" s="1"/>
  <c r="D36" i="5"/>
  <c r="D35" i="5"/>
  <c r="D34" i="5"/>
  <c r="D33" i="5"/>
  <c r="T33" i="5" s="1"/>
  <c r="U33" i="5" s="1"/>
  <c r="D32" i="5"/>
  <c r="D31" i="5"/>
  <c r="T31" i="5" s="1"/>
  <c r="U31" i="5" s="1"/>
  <c r="D30" i="5"/>
  <c r="D29" i="5"/>
  <c r="T29" i="5" s="1"/>
  <c r="U29" i="5" s="1"/>
  <c r="D28" i="5"/>
  <c r="D27" i="5"/>
  <c r="D26" i="5"/>
  <c r="D25" i="5"/>
  <c r="T25" i="5" s="1"/>
  <c r="U25" i="5" s="1"/>
  <c r="D24" i="5"/>
  <c r="D23" i="5"/>
  <c r="T23" i="5" s="1"/>
  <c r="U23" i="5" s="1"/>
  <c r="D22" i="5"/>
  <c r="D21" i="5"/>
  <c r="D20" i="5"/>
  <c r="D19" i="5"/>
  <c r="T19" i="5" s="1"/>
  <c r="U19" i="5" s="1"/>
  <c r="D18" i="5"/>
  <c r="D17" i="5"/>
  <c r="T17" i="5" s="1"/>
  <c r="U17" i="5" s="1"/>
  <c r="D16" i="5"/>
  <c r="D15" i="5"/>
  <c r="T15" i="5" s="1"/>
  <c r="U15" i="5" s="1"/>
  <c r="D14" i="5"/>
  <c r="D13" i="5"/>
  <c r="D12" i="5"/>
  <c r="D11" i="5"/>
  <c r="T11" i="5" s="1"/>
  <c r="U11" i="5" s="1"/>
  <c r="D10" i="5"/>
  <c r="D9" i="5"/>
  <c r="T9" i="5" s="1"/>
  <c r="U9" i="5" s="1"/>
  <c r="D8" i="5"/>
  <c r="B8" i="5"/>
  <c r="B9" i="5" s="1"/>
  <c r="T14" i="5" l="1"/>
  <c r="U14" i="5" s="1"/>
  <c r="T13" i="5"/>
  <c r="U13" i="5" s="1"/>
  <c r="T22" i="5"/>
  <c r="U22" i="5" s="1"/>
  <c r="T21" i="5"/>
  <c r="U21" i="5" s="1"/>
  <c r="T20" i="5"/>
  <c r="U20" i="5" s="1"/>
  <c r="T28" i="5"/>
  <c r="U28" i="5" s="1"/>
  <c r="T27" i="5"/>
  <c r="U27" i="5" s="1"/>
  <c r="T35" i="5"/>
  <c r="U35" i="5" s="1"/>
  <c r="T34" i="5"/>
  <c r="U34" i="5" s="1"/>
  <c r="E42" i="5"/>
  <c r="C9" i="5"/>
  <c r="B10" i="5"/>
  <c r="C8" i="5"/>
  <c r="J8" i="5"/>
  <c r="T38" i="5"/>
  <c r="U38" i="5" s="1"/>
  <c r="T8" i="5"/>
  <c r="U8" i="5" s="1"/>
  <c r="T10" i="5"/>
  <c r="U10" i="5" s="1"/>
  <c r="T12" i="5"/>
  <c r="U12" i="5" s="1"/>
  <c r="T16" i="5"/>
  <c r="U16" i="5" s="1"/>
  <c r="T18" i="5"/>
  <c r="U18" i="5" s="1"/>
  <c r="T24" i="5"/>
  <c r="U24" i="5" s="1"/>
  <c r="T26" i="5"/>
  <c r="U26" i="5" s="1"/>
  <c r="T30" i="5"/>
  <c r="U30" i="5" s="1"/>
  <c r="T32" i="5"/>
  <c r="U32" i="5" s="1"/>
  <c r="T36" i="5"/>
  <c r="U36" i="5" s="1"/>
  <c r="E40" i="5"/>
  <c r="D38" i="3"/>
  <c r="T38" i="3" s="1"/>
  <c r="U38" i="3" s="1"/>
  <c r="D37" i="3"/>
  <c r="T37" i="3" s="1"/>
  <c r="U37" i="3" s="1"/>
  <c r="D36" i="3"/>
  <c r="T36" i="3" s="1"/>
  <c r="U36" i="3" s="1"/>
  <c r="D35" i="3"/>
  <c r="T35" i="3" s="1"/>
  <c r="U35" i="3" s="1"/>
  <c r="D34" i="3"/>
  <c r="T34" i="3" s="1"/>
  <c r="U34" i="3" s="1"/>
  <c r="D33" i="3"/>
  <c r="T33" i="3" s="1"/>
  <c r="U33" i="3" s="1"/>
  <c r="D32" i="3"/>
  <c r="T32" i="3" s="1"/>
  <c r="U32" i="3" s="1"/>
  <c r="D31" i="3"/>
  <c r="T31" i="3" s="1"/>
  <c r="U31" i="3" s="1"/>
  <c r="D30" i="3"/>
  <c r="T30" i="3" s="1"/>
  <c r="U30" i="3" s="1"/>
  <c r="D29" i="3"/>
  <c r="T29" i="3" s="1"/>
  <c r="U29" i="3" s="1"/>
  <c r="D28" i="3"/>
  <c r="T28" i="3" s="1"/>
  <c r="U28" i="3" s="1"/>
  <c r="D27" i="3"/>
  <c r="T27" i="3" s="1"/>
  <c r="U27" i="3" s="1"/>
  <c r="D26" i="3"/>
  <c r="T26" i="3" s="1"/>
  <c r="U26" i="3" s="1"/>
  <c r="D25" i="3"/>
  <c r="T25" i="3" s="1"/>
  <c r="U25" i="3" s="1"/>
  <c r="D24" i="3"/>
  <c r="T24" i="3" s="1"/>
  <c r="U24" i="3" s="1"/>
  <c r="D23" i="3"/>
  <c r="T23" i="3" s="1"/>
  <c r="U23" i="3" s="1"/>
  <c r="D22" i="3"/>
  <c r="T22" i="3" s="1"/>
  <c r="U22" i="3" s="1"/>
  <c r="D21" i="3"/>
  <c r="T21" i="3" s="1"/>
  <c r="U21" i="3" s="1"/>
  <c r="D20" i="3"/>
  <c r="T20" i="3" s="1"/>
  <c r="U20" i="3" s="1"/>
  <c r="D19" i="3"/>
  <c r="T19" i="3" s="1"/>
  <c r="U19" i="3" s="1"/>
  <c r="D18" i="3"/>
  <c r="T18" i="3" s="1"/>
  <c r="U18" i="3" s="1"/>
  <c r="D17" i="3"/>
  <c r="T17" i="3" s="1"/>
  <c r="U17" i="3" s="1"/>
  <c r="D16" i="3"/>
  <c r="T16" i="3" s="1"/>
  <c r="U16" i="3" s="1"/>
  <c r="D15" i="3"/>
  <c r="T15" i="3" s="1"/>
  <c r="U15" i="3" s="1"/>
  <c r="D14" i="3"/>
  <c r="T14" i="3" s="1"/>
  <c r="U14" i="3" s="1"/>
  <c r="D13" i="3"/>
  <c r="T13" i="3" s="1"/>
  <c r="U13" i="3" s="1"/>
  <c r="D12" i="3"/>
  <c r="T12" i="3" s="1"/>
  <c r="U12" i="3" s="1"/>
  <c r="D11" i="3"/>
  <c r="T11" i="3" s="1"/>
  <c r="U11" i="3" s="1"/>
  <c r="D10" i="3"/>
  <c r="T10" i="3" s="1"/>
  <c r="U10" i="3" s="1"/>
  <c r="D9" i="3"/>
  <c r="T9" i="3" s="1"/>
  <c r="U9" i="3" s="1"/>
  <c r="D8" i="3"/>
  <c r="B8" i="3"/>
  <c r="J8" i="3" s="1"/>
  <c r="E41" i="5" l="1"/>
  <c r="F41" i="5" s="1"/>
  <c r="B11" i="5"/>
  <c r="C10" i="5"/>
  <c r="W8" i="5"/>
  <c r="J9" i="5"/>
  <c r="K8" i="5"/>
  <c r="E42" i="3"/>
  <c r="E40" i="3"/>
  <c r="E41" i="3" s="1"/>
  <c r="F41" i="3" s="1"/>
  <c r="T8" i="3"/>
  <c r="U8" i="3" s="1"/>
  <c r="J9" i="3"/>
  <c r="K8" i="3"/>
  <c r="W8" i="3"/>
  <c r="B9" i="3"/>
  <c r="C9" i="3" s="1"/>
  <c r="C8" i="3"/>
  <c r="B10" i="3"/>
  <c r="K9" i="5" l="1"/>
  <c r="J10" i="5"/>
  <c r="W9" i="5"/>
  <c r="C11" i="5"/>
  <c r="B12" i="5"/>
  <c r="K9" i="3"/>
  <c r="J10" i="3"/>
  <c r="W9" i="3"/>
  <c r="B11" i="3"/>
  <c r="C10" i="3"/>
  <c r="B13" i="5" l="1"/>
  <c r="C12" i="5"/>
  <c r="W10" i="5"/>
  <c r="J11" i="5"/>
  <c r="K10" i="5"/>
  <c r="J11" i="3"/>
  <c r="K10" i="3"/>
  <c r="W10" i="3"/>
  <c r="C11" i="3"/>
  <c r="B12" i="3"/>
  <c r="K11" i="5" l="1"/>
  <c r="J12" i="5"/>
  <c r="W11" i="5"/>
  <c r="C13" i="5"/>
  <c r="B14" i="5"/>
  <c r="K11" i="3"/>
  <c r="W11" i="3"/>
  <c r="J12" i="3"/>
  <c r="B13" i="3"/>
  <c r="C12" i="3"/>
  <c r="B15" i="5" l="1"/>
  <c r="C14" i="5"/>
  <c r="W12" i="5"/>
  <c r="J13" i="5"/>
  <c r="K12" i="5"/>
  <c r="K12" i="3"/>
  <c r="J13" i="3"/>
  <c r="W12" i="3"/>
  <c r="C13" i="3"/>
  <c r="B14" i="3"/>
  <c r="K13" i="5" l="1"/>
  <c r="J14" i="5"/>
  <c r="W13" i="5"/>
  <c r="C15" i="5"/>
  <c r="B16" i="5"/>
  <c r="J14" i="3"/>
  <c r="K13" i="3"/>
  <c r="W13" i="3"/>
  <c r="B15" i="3"/>
  <c r="C14" i="3"/>
  <c r="B17" i="5" l="1"/>
  <c r="C16" i="5"/>
  <c r="W14" i="5"/>
  <c r="J15" i="5"/>
  <c r="K14" i="5"/>
  <c r="W14" i="3"/>
  <c r="J15" i="3"/>
  <c r="K14" i="3"/>
  <c r="C15" i="3"/>
  <c r="B16" i="3"/>
  <c r="K15" i="5" l="1"/>
  <c r="J16" i="5"/>
  <c r="W15" i="5"/>
  <c r="C17" i="5"/>
  <c r="B18" i="5"/>
  <c r="K15" i="3"/>
  <c r="J16" i="3"/>
  <c r="W15" i="3"/>
  <c r="B17" i="3"/>
  <c r="C16" i="3"/>
  <c r="B19" i="5" l="1"/>
  <c r="C18" i="5"/>
  <c r="W16" i="5"/>
  <c r="J17" i="5"/>
  <c r="K16" i="5"/>
  <c r="J17" i="3"/>
  <c r="K16" i="3"/>
  <c r="W16" i="3"/>
  <c r="C17" i="3"/>
  <c r="B18" i="3"/>
  <c r="K17" i="5" l="1"/>
  <c r="J18" i="5"/>
  <c r="W17" i="5"/>
  <c r="C19" i="5"/>
  <c r="B20" i="5"/>
  <c r="K17" i="3"/>
  <c r="W17" i="3"/>
  <c r="J18" i="3"/>
  <c r="B19" i="3"/>
  <c r="C18" i="3"/>
  <c r="B21" i="5" l="1"/>
  <c r="C20" i="5"/>
  <c r="W18" i="5"/>
  <c r="J19" i="5"/>
  <c r="K18" i="5"/>
  <c r="J19" i="3"/>
  <c r="W18" i="3"/>
  <c r="K18" i="3"/>
  <c r="C19" i="3"/>
  <c r="B20" i="3"/>
  <c r="K19" i="5" l="1"/>
  <c r="J20" i="5"/>
  <c r="W19" i="5"/>
  <c r="C21" i="5"/>
  <c r="B22" i="5"/>
  <c r="W19" i="3"/>
  <c r="J20" i="3"/>
  <c r="K19" i="3"/>
  <c r="B21" i="3"/>
  <c r="C20" i="3"/>
  <c r="W20" i="5" l="1"/>
  <c r="J21" i="5"/>
  <c r="K20" i="5"/>
  <c r="B23" i="5"/>
  <c r="C22" i="5"/>
  <c r="J21" i="3"/>
  <c r="K20" i="3"/>
  <c r="W20" i="3"/>
  <c r="C21" i="3"/>
  <c r="B22" i="3"/>
  <c r="C23" i="5" l="1"/>
  <c r="B24" i="5"/>
  <c r="K21" i="5"/>
  <c r="J22" i="5"/>
  <c r="W21" i="5"/>
  <c r="K21" i="3"/>
  <c r="J22" i="3"/>
  <c r="W21" i="3"/>
  <c r="B23" i="3"/>
  <c r="C22" i="3"/>
  <c r="W22" i="5" l="1"/>
  <c r="J23" i="5"/>
  <c r="K22" i="5"/>
  <c r="B25" i="5"/>
  <c r="C24" i="5"/>
  <c r="J23" i="3"/>
  <c r="W22" i="3"/>
  <c r="K22" i="3"/>
  <c r="C23" i="3"/>
  <c r="B24" i="3"/>
  <c r="C25" i="5" l="1"/>
  <c r="B26" i="5"/>
  <c r="K23" i="5"/>
  <c r="J24" i="5"/>
  <c r="W23" i="5"/>
  <c r="J24" i="3"/>
  <c r="W23" i="3"/>
  <c r="K23" i="3"/>
  <c r="B25" i="3"/>
  <c r="C24" i="3"/>
  <c r="W24" i="5" l="1"/>
  <c r="J25" i="5"/>
  <c r="K24" i="5"/>
  <c r="B27" i="5"/>
  <c r="C26" i="5"/>
  <c r="J25" i="3"/>
  <c r="K24" i="3"/>
  <c r="W24" i="3"/>
  <c r="C25" i="3"/>
  <c r="B26" i="3"/>
  <c r="K25" i="5" l="1"/>
  <c r="W25" i="5"/>
  <c r="J26" i="5"/>
  <c r="C27" i="5"/>
  <c r="B28" i="5"/>
  <c r="K25" i="3"/>
  <c r="J26" i="3"/>
  <c r="W25" i="3"/>
  <c r="B27" i="3"/>
  <c r="C26" i="3"/>
  <c r="B29" i="5" l="1"/>
  <c r="C28" i="5"/>
  <c r="W26" i="5"/>
  <c r="J27" i="5"/>
  <c r="K26" i="5"/>
  <c r="J27" i="3"/>
  <c r="K26" i="3"/>
  <c r="W26" i="3"/>
  <c r="C27" i="3"/>
  <c r="B28" i="3"/>
  <c r="K27" i="5" l="1"/>
  <c r="J28" i="5"/>
  <c r="W27" i="5"/>
  <c r="C29" i="5"/>
  <c r="B30" i="5"/>
  <c r="W27" i="3"/>
  <c r="K27" i="3"/>
  <c r="J28" i="3"/>
  <c r="B29" i="3"/>
  <c r="C28" i="3"/>
  <c r="B31" i="5" l="1"/>
  <c r="C30" i="5"/>
  <c r="W28" i="5"/>
  <c r="J29" i="5"/>
  <c r="K28" i="5"/>
  <c r="J29" i="3"/>
  <c r="W28" i="3"/>
  <c r="K28" i="3"/>
  <c r="C29" i="3"/>
  <c r="B30" i="3"/>
  <c r="K29" i="5" l="1"/>
  <c r="W29" i="5"/>
  <c r="J30" i="5"/>
  <c r="C31" i="5"/>
  <c r="B32" i="5"/>
  <c r="K29" i="3"/>
  <c r="J30" i="3"/>
  <c r="W29" i="3"/>
  <c r="B31" i="3"/>
  <c r="C30" i="3"/>
  <c r="B33" i="5" l="1"/>
  <c r="C32" i="5"/>
  <c r="W30" i="5"/>
  <c r="J31" i="5"/>
  <c r="K30" i="5"/>
  <c r="J31" i="3"/>
  <c r="W30" i="3"/>
  <c r="K30" i="3"/>
  <c r="C31" i="3"/>
  <c r="B32" i="3"/>
  <c r="K31" i="5" l="1"/>
  <c r="J32" i="5"/>
  <c r="W31" i="5"/>
  <c r="C33" i="5"/>
  <c r="B34" i="5"/>
  <c r="K31" i="3"/>
  <c r="W31" i="3"/>
  <c r="J32" i="3"/>
  <c r="B33" i="3"/>
  <c r="C32" i="3"/>
  <c r="B35" i="5" l="1"/>
  <c r="C34" i="5"/>
  <c r="W32" i="5"/>
  <c r="J33" i="5"/>
  <c r="K32" i="5"/>
  <c r="J33" i="3"/>
  <c r="W32" i="3"/>
  <c r="K32" i="3"/>
  <c r="C33" i="3"/>
  <c r="B34" i="3"/>
  <c r="K33" i="5" l="1"/>
  <c r="J34" i="5"/>
  <c r="W33" i="5"/>
  <c r="C35" i="5"/>
  <c r="B37" i="5"/>
  <c r="C37" i="5" s="1"/>
  <c r="B36" i="5"/>
  <c r="C36" i="5" s="1"/>
  <c r="B38" i="5"/>
  <c r="C38" i="5" s="1"/>
  <c r="K33" i="3"/>
  <c r="W33" i="3"/>
  <c r="J34" i="3"/>
  <c r="B35" i="3"/>
  <c r="C34" i="3"/>
  <c r="W34" i="5" l="1"/>
  <c r="J35" i="5"/>
  <c r="K34" i="5"/>
  <c r="J35" i="3"/>
  <c r="K34" i="3"/>
  <c r="W34" i="3"/>
  <c r="C35" i="3"/>
  <c r="B37" i="3"/>
  <c r="C37" i="3" s="1"/>
  <c r="B38" i="3"/>
  <c r="C38" i="3" s="1"/>
  <c r="B36" i="3"/>
  <c r="C36" i="3" s="1"/>
  <c r="K35" i="5" l="1"/>
  <c r="J37" i="5"/>
  <c r="J38" i="5"/>
  <c r="J36" i="5"/>
  <c r="W35" i="5"/>
  <c r="J37" i="3"/>
  <c r="J38" i="3"/>
  <c r="J36" i="3"/>
  <c r="K35" i="3"/>
  <c r="W35" i="3"/>
  <c r="W36" i="5" l="1"/>
  <c r="K36" i="5"/>
  <c r="K37" i="5"/>
  <c r="W37" i="5"/>
  <c r="W38" i="5"/>
  <c r="K38" i="5"/>
  <c r="W36" i="3"/>
  <c r="K36" i="3"/>
  <c r="W38" i="3"/>
  <c r="K38" i="3"/>
  <c r="K37" i="3"/>
  <c r="W37" i="3"/>
</calcChain>
</file>

<file path=xl/sharedStrings.xml><?xml version="1.0" encoding="utf-8"?>
<sst xmlns="http://schemas.openxmlformats.org/spreadsheetml/2006/main" count="331" uniqueCount="74">
  <si>
    <t>株式会社　イー・ビジネス</t>
  </si>
  <si>
    <t>案件名：SMS_新基盤システム導入（2024年5月1日～2024年5月31日）</t>
    <phoneticPr fontId="12"/>
  </si>
  <si>
    <t>休憩時間</t>
    <rPh sb="0" eb="4">
      <t>キュウケイジカン</t>
    </rPh>
    <phoneticPr fontId="12"/>
  </si>
  <si>
    <t>日</t>
  </si>
  <si>
    <t>曜日</t>
  </si>
  <si>
    <t>合計(min)</t>
  </si>
  <si>
    <t>摘　　　　要</t>
  </si>
  <si>
    <t>勤務時間</t>
  </si>
  <si>
    <t>補正値</t>
  </si>
  <si>
    <t>合計(ｈ:mm)</t>
  </si>
  <si>
    <t>祝日</t>
    <rPh sb="0" eb="2">
      <t>シュクジツ</t>
    </rPh>
    <phoneticPr fontId="12"/>
  </si>
  <si>
    <t>：</t>
  </si>
  <si>
    <t>～</t>
  </si>
  <si>
    <t>障害・仕様変更対応、打ち合わせ</t>
    <phoneticPr fontId="12"/>
  </si>
  <si>
    <t>障害・仕様変更対応、打ち合わせ</t>
    <rPh sb="0" eb="2">
      <t>ショウガイ</t>
    </rPh>
    <rPh sb="3" eb="5">
      <t>シヨウ</t>
    </rPh>
    <rPh sb="5" eb="7">
      <t>ヘンコウ</t>
    </rPh>
    <rPh sb="7" eb="9">
      <t>タイオウ</t>
    </rPh>
    <rPh sb="10" eb="11">
      <t>ウ</t>
    </rPh>
    <rPh sb="12" eb="13">
      <t>ア</t>
    </rPh>
    <phoneticPr fontId="12"/>
  </si>
  <si>
    <t>リリース予定一覧No.392、789、1101の検証テスト,+新カイポケの桁数調査</t>
    <rPh sb="24" eb="26">
      <t>ケンショウ</t>
    </rPh>
    <rPh sb="31" eb="32">
      <t>シン</t>
    </rPh>
    <rPh sb="37" eb="39">
      <t>ケタスウ</t>
    </rPh>
    <rPh sb="39" eb="41">
      <t>チョウサ</t>
    </rPh>
    <phoneticPr fontId="12"/>
  </si>
  <si>
    <t>午前病院＋診察　　　障害・仕様変更対応、打ち合わせ,要員面談　12:00-16:30病院</t>
    <rPh sb="0" eb="2">
      <t>ゴゼン</t>
    </rPh>
    <rPh sb="2" eb="4">
      <t>ビョウイン</t>
    </rPh>
    <rPh sb="5" eb="7">
      <t>シンサツ</t>
    </rPh>
    <rPh sb="26" eb="28">
      <t>ヨウイン</t>
    </rPh>
    <rPh sb="28" eb="30">
      <t>メンダン</t>
    </rPh>
    <rPh sb="42" eb="44">
      <t>ビョウイン</t>
    </rPh>
    <phoneticPr fontId="12"/>
  </si>
  <si>
    <t>案件名：AMS水道マッピング（2026年2月1日～2026年2月28日）</t>
    <rPh sb="4" eb="14">
      <t>スイドウ</t>
    </rPh>
    <phoneticPr fontId="12"/>
  </si>
  <si>
    <t>【障害対応】調査</t>
    <rPh sb="1" eb="3">
      <t>ショウガイ</t>
    </rPh>
    <rPh sb="3" eb="5">
      <t>タイオウ</t>
    </rPh>
    <rPh sb="6" eb="8">
      <t>チョウサ</t>
    </rPh>
    <phoneticPr fontId="12"/>
  </si>
  <si>
    <t>元日</t>
  </si>
  <si>
    <t>9：00</t>
    <phoneticPr fontId="12"/>
  </si>
  <si>
    <t>18：00</t>
    <phoneticPr fontId="12"/>
  </si>
  <si>
    <t>進捗状況</t>
    <rPh sb="0" eb="2">
      <t>シンチョク</t>
    </rPh>
    <rPh sb="2" eb="4">
      <t>ジョウキョウ</t>
    </rPh>
    <phoneticPr fontId="12"/>
  </si>
  <si>
    <t>成人の日</t>
  </si>
  <si>
    <t>9：30</t>
    <phoneticPr fontId="12"/>
  </si>
  <si>
    <t>18：30</t>
  </si>
  <si>
    <t>前倒し</t>
  </si>
  <si>
    <t>建国記念の日</t>
  </si>
  <si>
    <t>10：00</t>
  </si>
  <si>
    <t>19：00</t>
  </si>
  <si>
    <t>予定通り</t>
  </si>
  <si>
    <t>天皇誕生日</t>
  </si>
  <si>
    <t>10：30</t>
  </si>
  <si>
    <t>19：30</t>
  </si>
  <si>
    <t>遅延あり</t>
  </si>
  <si>
    <t>春分の日</t>
  </si>
  <si>
    <t>11：00</t>
  </si>
  <si>
    <t>20：00</t>
  </si>
  <si>
    <t>休み</t>
  </si>
  <si>
    <t>昭和の日</t>
  </si>
  <si>
    <t>11：30</t>
  </si>
  <si>
    <t>20：30</t>
  </si>
  <si>
    <t>その他</t>
  </si>
  <si>
    <t>憲法記念日</t>
  </si>
  <si>
    <t>12：00</t>
  </si>
  <si>
    <t>21：00</t>
  </si>
  <si>
    <t>-</t>
    <phoneticPr fontId="12"/>
  </si>
  <si>
    <t>みどりの日</t>
  </si>
  <si>
    <t>12：30</t>
  </si>
  <si>
    <t>21：30</t>
  </si>
  <si>
    <t>振替休日</t>
    <rPh sb="0" eb="2">
      <t>フリカエ</t>
    </rPh>
    <rPh sb="2" eb="4">
      <t>キュウジツ</t>
    </rPh>
    <phoneticPr fontId="12"/>
  </si>
  <si>
    <t>13：00</t>
  </si>
  <si>
    <t>22：00</t>
  </si>
  <si>
    <t>海の日</t>
  </si>
  <si>
    <t>13：30</t>
  </si>
  <si>
    <t>22：30</t>
  </si>
  <si>
    <t>山の日</t>
  </si>
  <si>
    <t>14：00</t>
  </si>
  <si>
    <t>23：00</t>
  </si>
  <si>
    <t>敬老の日</t>
  </si>
  <si>
    <t>14：30</t>
  </si>
  <si>
    <t>23：30</t>
  </si>
  <si>
    <t>秋分の日</t>
  </si>
  <si>
    <t>15：00</t>
  </si>
  <si>
    <t>国民の休日</t>
    <rPh sb="0" eb="2">
      <t>コクミン</t>
    </rPh>
    <rPh sb="3" eb="5">
      <t>キュウジツ</t>
    </rPh>
    <phoneticPr fontId="12"/>
  </si>
  <si>
    <t>15：30</t>
  </si>
  <si>
    <t>スポーツの日</t>
  </si>
  <si>
    <t>16：00</t>
  </si>
  <si>
    <t>文化の日</t>
  </si>
  <si>
    <t>16：30</t>
  </si>
  <si>
    <t>勤労感謝の日</t>
  </si>
  <si>
    <t>17：00</t>
  </si>
  <si>
    <t>17：30</t>
  </si>
  <si>
    <t>18：00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</si>
</sst>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yyyy/mm"/>
    <numFmt numFmtId="165" formatCode="00"/>
    <numFmt numFmtId="166" formatCode="d"/>
    <numFmt numFmtId="167" formatCode="aaa"/>
    <numFmt numFmtId="168" formatCode="000\:"/>
    <numFmt numFmtId="169" formatCode="0_);[Red]\(0\)"/>
    <numFmt numFmtId="170" formatCode="0\ \:"/>
    <numFmt numFmtId="171" formatCode="000.0"/>
    <numFmt numFmtId="172" formatCode="00.0"/>
  </numFmts>
  <fonts count="15">
    <font>
      <sz val="11"/>
      <color theme="1"/>
      <name val="Yu Gothic"/>
      <charset val="134"/>
      <scheme val="minor"/>
    </font>
    <font>
      <sz val="11"/>
      <color theme="1"/>
      <name val="Yu Gothic"/>
      <family val="2"/>
      <charset val="128"/>
      <scheme val="minor"/>
    </font>
    <font>
      <sz val="11"/>
      <name val="Meiryo UI"/>
      <family val="3"/>
      <charset val="128"/>
    </font>
    <font>
      <b/>
      <sz val="18"/>
      <name val="Meiryo UI"/>
      <family val="3"/>
      <charset val="128"/>
    </font>
    <font>
      <u/>
      <sz val="12"/>
      <name val="Meiryo UI"/>
      <family val="3"/>
      <charset val="128"/>
    </font>
    <font>
      <b/>
      <sz val="16"/>
      <name val="Meiryo UI"/>
      <family val="3"/>
      <charset val="128"/>
    </font>
    <font>
      <sz val="9"/>
      <name val="Meiryo UI"/>
      <family val="3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indexed="9"/>
      <name val="Meiryo UI"/>
      <family val="3"/>
      <charset val="128"/>
    </font>
    <font>
      <sz val="1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2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FF"/>
        <bgColor rgb="FFF0F0F0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1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</cellStyleXfs>
  <cellXfs count="82">
    <xf numFmtId="0" fontId="0" fillId="0" borderId="0" xfId="0"/>
    <xf numFmtId="0" fontId="2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2" borderId="0" xfId="1" applyFont="1" applyFill="1" applyProtection="1">
      <alignment vertical="center"/>
      <protection locked="0"/>
    </xf>
    <xf numFmtId="0" fontId="2" fillId="2" borderId="0" xfId="1" applyFont="1" applyFill="1" applyAlignment="1" applyProtection="1">
      <alignment horizontal="center" vertical="center"/>
      <protection locked="0"/>
    </xf>
    <xf numFmtId="0" fontId="3" fillId="2" borderId="0" xfId="1" applyFont="1" applyFill="1" applyAlignment="1" applyProtection="1">
      <alignment horizontal="left" vertical="center"/>
      <protection locked="0"/>
    </xf>
    <xf numFmtId="0" fontId="4" fillId="2" borderId="0" xfId="1" applyFont="1" applyFill="1" applyAlignment="1" applyProtection="1">
      <alignment horizontal="left" vertical="center"/>
      <protection locked="0"/>
    </xf>
    <xf numFmtId="0" fontId="5" fillId="2" borderId="0" xfId="1" applyFont="1" applyFill="1" applyAlignment="1" applyProtection="1">
      <alignment horizontal="left" vertical="center"/>
      <protection locked="0"/>
    </xf>
    <xf numFmtId="0" fontId="6" fillId="2" borderId="0" xfId="1" applyFont="1" applyFill="1" applyAlignment="1" applyProtection="1">
      <alignment horizontal="center" vertical="center"/>
      <protection locked="0"/>
    </xf>
    <xf numFmtId="0" fontId="6" fillId="3" borderId="1" xfId="1" applyFont="1" applyFill="1" applyBorder="1" applyAlignment="1" applyProtection="1">
      <alignment horizontal="center" vertical="center"/>
      <protection locked="0"/>
    </xf>
    <xf numFmtId="0" fontId="6" fillId="3" borderId="2" xfId="1" applyFont="1" applyFill="1" applyBorder="1" applyAlignment="1" applyProtection="1">
      <alignment horizontal="center" vertical="center"/>
      <protection locked="0"/>
    </xf>
    <xf numFmtId="166" fontId="6" fillId="0" borderId="6" xfId="1" applyNumberFormat="1" applyFont="1" applyBorder="1" applyAlignment="1" applyProtection="1">
      <alignment horizontal="center" vertical="center"/>
      <protection locked="0"/>
    </xf>
    <xf numFmtId="167" fontId="6" fillId="0" borderId="7" xfId="1" applyNumberFormat="1" applyFont="1" applyBorder="1" applyAlignment="1" applyProtection="1">
      <alignment horizontal="center" vertical="center"/>
      <protection locked="0"/>
    </xf>
    <xf numFmtId="1" fontId="6" fillId="4" borderId="8" xfId="1" applyNumberFormat="1" applyFont="1" applyFill="1" applyBorder="1" applyAlignment="1">
      <alignment horizontal="center" vertical="center"/>
    </xf>
    <xf numFmtId="1" fontId="6" fillId="0" borderId="8" xfId="1" applyNumberFormat="1" applyFont="1" applyBorder="1" applyAlignment="1">
      <alignment horizontal="center" vertical="center"/>
    </xf>
    <xf numFmtId="166" fontId="6" fillId="0" borderId="12" xfId="1" applyNumberFormat="1" applyFont="1" applyBorder="1" applyAlignment="1" applyProtection="1">
      <alignment horizontal="center" vertical="center"/>
      <protection locked="0"/>
    </xf>
    <xf numFmtId="167" fontId="6" fillId="0" borderId="13" xfId="1" applyNumberFormat="1" applyFont="1" applyBorder="1" applyAlignment="1" applyProtection="1">
      <alignment horizontal="center" vertical="center"/>
      <protection locked="0"/>
    </xf>
    <xf numFmtId="1" fontId="6" fillId="4" borderId="14" xfId="1" applyNumberFormat="1" applyFont="1" applyFill="1" applyBorder="1" applyAlignment="1">
      <alignment horizontal="center" vertical="center"/>
    </xf>
    <xf numFmtId="166" fontId="6" fillId="0" borderId="15" xfId="1" applyNumberFormat="1" applyFont="1" applyBorder="1" applyAlignment="1" applyProtection="1">
      <alignment horizontal="center" vertical="center"/>
      <protection locked="0"/>
    </xf>
    <xf numFmtId="167" fontId="6" fillId="0" borderId="15" xfId="1" applyNumberFormat="1" applyFont="1" applyBorder="1" applyAlignment="1" applyProtection="1">
      <alignment horizontal="center" vertical="center"/>
      <protection locked="0"/>
    </xf>
    <xf numFmtId="1" fontId="6" fillId="0" borderId="15" xfId="1" applyNumberFormat="1" applyFont="1" applyBorder="1" applyAlignment="1">
      <alignment horizontal="center" vertical="center"/>
    </xf>
    <xf numFmtId="0" fontId="7" fillId="0" borderId="15" xfId="1" applyFont="1" applyBorder="1" applyProtection="1">
      <alignment vertical="center"/>
      <protection locked="0"/>
    </xf>
    <xf numFmtId="0" fontId="2" fillId="0" borderId="0" xfId="1" applyFont="1" applyAlignment="1" applyProtection="1">
      <alignment horizontal="left" vertical="center"/>
      <protection locked="0"/>
    </xf>
    <xf numFmtId="0" fontId="8" fillId="0" borderId="18" xfId="1" applyFont="1" applyBorder="1" applyAlignment="1" applyProtection="1">
      <alignment horizontal="center" vertical="center"/>
      <protection locked="0"/>
    </xf>
    <xf numFmtId="168" fontId="2" fillId="0" borderId="16" xfId="1" applyNumberFormat="1" applyFont="1" applyBorder="1" applyProtection="1">
      <alignment vertical="center"/>
      <protection locked="0"/>
    </xf>
    <xf numFmtId="169" fontId="2" fillId="0" borderId="17" xfId="1" applyNumberFormat="1" applyFont="1" applyBorder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9" fillId="5" borderId="19" xfId="1" applyFont="1" applyFill="1" applyBorder="1" applyAlignment="1" applyProtection="1">
      <alignment horizontal="center" vertical="center"/>
      <protection locked="0"/>
    </xf>
    <xf numFmtId="0" fontId="9" fillId="5" borderId="20" xfId="1" applyFont="1" applyFill="1" applyBorder="1" applyAlignment="1" applyProtection="1">
      <alignment horizontal="center" vertical="center"/>
      <protection locked="0"/>
    </xf>
    <xf numFmtId="166" fontId="9" fillId="0" borderId="22" xfId="1" applyNumberFormat="1" applyFont="1" applyBorder="1" applyAlignment="1" applyProtection="1">
      <alignment horizontal="center" vertical="center"/>
      <protection locked="0"/>
    </xf>
    <xf numFmtId="167" fontId="9" fillId="0" borderId="23" xfId="1" applyNumberFormat="1" applyFont="1" applyBorder="1" applyAlignment="1" applyProtection="1">
      <alignment horizontal="center" vertical="center"/>
      <protection locked="0"/>
    </xf>
    <xf numFmtId="165" fontId="9" fillId="0" borderId="24" xfId="1" applyNumberFormat="1" applyFont="1" applyBorder="1" applyAlignment="1" applyProtection="1">
      <alignment horizontal="center" vertical="center" wrapText="1"/>
      <protection locked="0"/>
    </xf>
    <xf numFmtId="165" fontId="9" fillId="0" borderId="24" xfId="1" applyNumberFormat="1" applyFont="1" applyBorder="1" applyAlignment="1">
      <alignment horizontal="center" vertical="center"/>
    </xf>
    <xf numFmtId="166" fontId="9" fillId="0" borderId="25" xfId="1" applyNumberFormat="1" applyFont="1" applyBorder="1" applyAlignment="1" applyProtection="1">
      <alignment horizontal="center" vertical="center"/>
      <protection locked="0"/>
    </xf>
    <xf numFmtId="167" fontId="9" fillId="0" borderId="26" xfId="1" applyNumberFormat="1" applyFont="1" applyBorder="1" applyAlignment="1" applyProtection="1">
      <alignment horizontal="center" vertical="center"/>
      <protection locked="0"/>
    </xf>
    <xf numFmtId="165" fontId="6" fillId="0" borderId="15" xfId="1" applyNumberFormat="1" applyFont="1" applyBorder="1" applyAlignment="1" applyProtection="1">
      <alignment horizontal="center" vertical="center" wrapText="1"/>
      <protection locked="0"/>
    </xf>
    <xf numFmtId="165" fontId="7" fillId="0" borderId="15" xfId="1" applyNumberFormat="1" applyFont="1" applyBorder="1" applyAlignment="1">
      <alignment horizontal="center" vertical="center"/>
    </xf>
    <xf numFmtId="0" fontId="6" fillId="0" borderId="15" xfId="1" applyFont="1" applyBorder="1" applyAlignment="1">
      <alignment horizontal="center" vertical="center"/>
    </xf>
    <xf numFmtId="0" fontId="10" fillId="0" borderId="0" xfId="1" applyFont="1" applyProtection="1">
      <alignment vertical="center"/>
      <protection locked="0"/>
    </xf>
    <xf numFmtId="165" fontId="7" fillId="0" borderId="0" xfId="1" applyNumberFormat="1" applyFont="1" applyProtection="1">
      <alignment vertical="center"/>
      <protection locked="0"/>
    </xf>
    <xf numFmtId="165" fontId="9" fillId="0" borderId="28" xfId="1" applyNumberFormat="1" applyFont="1" applyBorder="1" applyAlignment="1">
      <alignment horizontal="center" vertical="center"/>
    </xf>
    <xf numFmtId="170" fontId="9" fillId="4" borderId="29" xfId="1" applyNumberFormat="1" applyFont="1" applyFill="1" applyBorder="1" applyAlignment="1">
      <alignment horizontal="right" vertical="center"/>
    </xf>
    <xf numFmtId="165" fontId="9" fillId="4" borderId="30" xfId="1" applyNumberFormat="1" applyFont="1" applyFill="1" applyBorder="1" applyAlignment="1">
      <alignment horizontal="left" vertical="center"/>
    </xf>
    <xf numFmtId="170" fontId="9" fillId="0" borderId="29" xfId="1" applyNumberFormat="1" applyFont="1" applyBorder="1" applyAlignment="1">
      <alignment horizontal="right" vertical="center"/>
    </xf>
    <xf numFmtId="165" fontId="9" fillId="0" borderId="30" xfId="1" applyNumberFormat="1" applyFont="1" applyBorder="1" applyAlignment="1">
      <alignment horizontal="left" vertical="center"/>
    </xf>
    <xf numFmtId="170" fontId="9" fillId="4" borderId="31" xfId="1" applyNumberFormat="1" applyFont="1" applyFill="1" applyBorder="1" applyAlignment="1">
      <alignment horizontal="right" vertical="center"/>
    </xf>
    <xf numFmtId="165" fontId="9" fillId="4" borderId="32" xfId="1" applyNumberFormat="1" applyFont="1" applyFill="1" applyBorder="1" applyAlignment="1">
      <alignment horizontal="left" vertical="center"/>
    </xf>
    <xf numFmtId="165" fontId="6" fillId="0" borderId="15" xfId="1" applyNumberFormat="1" applyFont="1" applyBorder="1" applyAlignment="1">
      <alignment horizontal="center" vertical="center"/>
    </xf>
    <xf numFmtId="170" fontId="6" fillId="0" borderId="15" xfId="1" applyNumberFormat="1" applyFont="1" applyBorder="1" applyAlignment="1">
      <alignment horizontal="right" vertical="center"/>
    </xf>
    <xf numFmtId="165" fontId="6" fillId="0" borderId="15" xfId="1" applyNumberFormat="1" applyFont="1" applyBorder="1" applyAlignment="1">
      <alignment horizontal="left" vertical="center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left" vertical="center"/>
      <protection locked="0"/>
    </xf>
    <xf numFmtId="171" fontId="8" fillId="0" borderId="0" xfId="1" applyNumberFormat="1" applyFont="1" applyAlignment="1" applyProtection="1">
      <alignment horizontal="center" vertical="center"/>
      <protection locked="0"/>
    </xf>
    <xf numFmtId="168" fontId="8" fillId="0" borderId="0" xfId="1" applyNumberFormat="1" applyFont="1" applyAlignment="1" applyProtection="1">
      <alignment horizontal="right" vertical="center"/>
      <protection locked="0"/>
    </xf>
    <xf numFmtId="169" fontId="8" fillId="0" borderId="0" xfId="1" applyNumberFormat="1" applyFont="1" applyAlignment="1" applyProtection="1">
      <alignment horizontal="left" vertical="center"/>
      <protection locked="0"/>
    </xf>
    <xf numFmtId="0" fontId="9" fillId="2" borderId="0" xfId="1" applyFont="1" applyFill="1" applyAlignment="1" applyProtection="1">
      <alignment horizontal="center" vertical="center"/>
      <protection locked="0"/>
    </xf>
    <xf numFmtId="164" fontId="2" fillId="2" borderId="0" xfId="1" applyNumberFormat="1" applyFont="1" applyFill="1" applyAlignment="1" applyProtection="1">
      <alignment horizontal="left" vertical="center"/>
      <protection locked="0"/>
    </xf>
    <xf numFmtId="14" fontId="0" fillId="0" borderId="19" xfId="0" applyNumberFormat="1" applyBorder="1"/>
    <xf numFmtId="0" fontId="0" fillId="0" borderId="27" xfId="0" applyBorder="1"/>
    <xf numFmtId="14" fontId="0" fillId="0" borderId="22" xfId="0" applyNumberFormat="1" applyBorder="1"/>
    <xf numFmtId="0" fontId="0" fillId="0" borderId="33" xfId="0" applyBorder="1"/>
    <xf numFmtId="164" fontId="2" fillId="2" borderId="0" xfId="1" applyNumberFormat="1" applyFont="1" applyFill="1" applyProtection="1">
      <alignment vertical="center"/>
      <protection locked="0"/>
    </xf>
    <xf numFmtId="20" fontId="0" fillId="0" borderId="0" xfId="0" applyNumberFormat="1"/>
    <xf numFmtId="46" fontId="0" fillId="0" borderId="0" xfId="0" applyNumberFormat="1"/>
    <xf numFmtId="49" fontId="0" fillId="0" borderId="0" xfId="0" applyNumberFormat="1"/>
    <xf numFmtId="0" fontId="0" fillId="0" borderId="23" xfId="0" applyBorder="1"/>
    <xf numFmtId="0" fontId="13" fillId="6" borderId="23" xfId="2" applyBorder="1" applyAlignment="1"/>
    <xf numFmtId="0" fontId="14" fillId="8" borderId="0" xfId="0" applyFont="1" applyFill="1" applyAlignment="1" applyProtection="1">
      <alignment horizontal="left" vertical="center"/>
      <protection locked="0"/>
    </xf>
    <xf numFmtId="172" fontId="9" fillId="4" borderId="23" xfId="1" applyNumberFormat="1" applyFont="1" applyFill="1" applyBorder="1" applyAlignment="1">
      <alignment horizontal="center" vertical="center"/>
    </xf>
    <xf numFmtId="0" fontId="9" fillId="5" borderId="20" xfId="1" applyFont="1" applyFill="1" applyBorder="1" applyAlignment="1" applyProtection="1">
      <alignment horizontal="center" vertical="center"/>
      <protection locked="0"/>
    </xf>
    <xf numFmtId="0" fontId="9" fillId="5" borderId="27" xfId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Alignment="1" applyProtection="1">
      <alignment horizontal="left" vertical="center"/>
      <protection locked="0"/>
    </xf>
    <xf numFmtId="0" fontId="6" fillId="3" borderId="3" xfId="1" applyFont="1" applyFill="1" applyBorder="1" applyAlignment="1" applyProtection="1">
      <alignment horizontal="center" vertical="center"/>
      <protection locked="0"/>
    </xf>
    <xf numFmtId="0" fontId="6" fillId="3" borderId="4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9" fillId="5" borderId="21" xfId="1" applyFont="1" applyFill="1" applyBorder="1" applyAlignment="1" applyProtection="1">
      <alignment horizontal="center" vertical="center"/>
      <protection locked="0"/>
    </xf>
    <xf numFmtId="1" fontId="2" fillId="0" borderId="16" xfId="1" applyNumberFormat="1" applyFont="1" applyBorder="1" applyAlignment="1" applyProtection="1">
      <alignment horizontal="center" vertical="center"/>
      <protection locked="0"/>
    </xf>
    <xf numFmtId="1" fontId="2" fillId="0" borderId="17" xfId="1" applyNumberFormat="1" applyFont="1" applyBorder="1" applyAlignment="1" applyProtection="1">
      <alignment horizontal="center" vertical="center"/>
      <protection locked="0"/>
    </xf>
    <xf numFmtId="0" fontId="2" fillId="2" borderId="0" xfId="1" applyFont="1" applyFill="1" applyAlignment="1" applyProtection="1">
      <alignment vertical="center"/>
      <protection locked="0"/>
    </xf>
    <xf numFmtId="0" fontId="7" fillId="0" borderId="9" xfId="1" applyFont="1" applyBorder="1" applyAlignment="1" applyProtection="1">
      <alignment vertical="center"/>
      <protection locked="0"/>
    </xf>
    <xf numFmtId="0" fontId="7" fillId="0" borderId="10" xfId="1" applyFont="1" applyBorder="1" applyAlignment="1" applyProtection="1">
      <alignment vertical="center"/>
      <protection locked="0"/>
    </xf>
    <xf numFmtId="0" fontId="7" fillId="0" borderId="11" xfId="1" applyFont="1" applyBorder="1" applyAlignment="1" applyProtection="1">
      <alignment vertical="center"/>
      <protection locked="0"/>
    </xf>
  </cellXfs>
  <cellStyles count="4">
    <cellStyle name="20% - アクセント 1 2" xfId="3" xr:uid="{8F713AE1-E9BD-46E1-81C9-2C6F99791C37}"/>
    <cellStyle name="どちらでもない" xfId="2" builtinId="28"/>
    <cellStyle name="標準" xfId="0" builtinId="0"/>
    <cellStyle name="標準 2" xfId="1" xr:uid="{00000000-0005-0000-0000-000026000000}"/>
  </cellStyles>
  <dxfs count="47"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133350</xdr:rowOff>
    </xdr:from>
    <xdr:to>
      <xdr:col>6</xdr:col>
      <xdr:colOff>1219200</xdr:colOff>
      <xdr:row>1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38326" y="133350"/>
          <a:ext cx="3143249" cy="504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4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作業報告書</a:t>
          </a:r>
        </a:p>
      </xdr:txBody>
    </xdr:sp>
    <xdr:clientData/>
  </xdr:twoCellAnchor>
  <xdr:twoCellAnchor>
    <xdr:from>
      <xdr:col>1</xdr:col>
      <xdr:colOff>38101</xdr:colOff>
      <xdr:row>2</xdr:row>
      <xdr:rowOff>9524</xdr:rowOff>
    </xdr:from>
    <xdr:to>
      <xdr:col>2</xdr:col>
      <xdr:colOff>289891</xdr:colOff>
      <xdr:row>3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38126" y="695324"/>
          <a:ext cx="899490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報告年月：</a:t>
          </a:r>
        </a:p>
      </xdr:txBody>
    </xdr:sp>
    <xdr:clientData/>
  </xdr:twoCellAnchor>
  <xdr:twoCellAnchor>
    <xdr:from>
      <xdr:col>1</xdr:col>
      <xdr:colOff>38101</xdr:colOff>
      <xdr:row>3</xdr:row>
      <xdr:rowOff>9524</xdr:rowOff>
    </xdr:from>
    <xdr:to>
      <xdr:col>4</xdr:col>
      <xdr:colOff>172720</xdr:colOff>
      <xdr:row>4</xdr:row>
      <xdr:rowOff>111760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8126" y="962024"/>
          <a:ext cx="2468244" cy="368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氏　　　　　　名：　三根　徳二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428626</xdr:colOff>
      <xdr:row>38</xdr:row>
      <xdr:rowOff>228599</xdr:rowOff>
    </xdr:from>
    <xdr:to>
      <xdr:col>4</xdr:col>
      <xdr:colOff>180975</xdr:colOff>
      <xdr:row>40</xdr:row>
      <xdr:rowOff>28575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28651" y="9372599"/>
          <a:ext cx="208597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作業時間合計（分単位）</a:t>
          </a:r>
        </a:p>
      </xdr:txBody>
    </xdr:sp>
    <xdr:clientData/>
  </xdr:twoCellAnchor>
  <xdr:twoCellAnchor>
    <xdr:from>
      <xdr:col>1</xdr:col>
      <xdr:colOff>419101</xdr:colOff>
      <xdr:row>39</xdr:row>
      <xdr:rowOff>219074</xdr:rowOff>
    </xdr:from>
    <xdr:to>
      <xdr:col>4</xdr:col>
      <xdr:colOff>152400</xdr:colOff>
      <xdr:row>41</xdr:row>
      <xdr:rowOff>19050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19126" y="9591674"/>
          <a:ext cx="206692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作業時間合計（時間単位）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333375</xdr:rowOff>
        </xdr:from>
        <xdr:to>
          <xdr:col>12</xdr:col>
          <xdr:colOff>38100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次月へ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1</xdr:row>
          <xdr:rowOff>342900</xdr:rowOff>
        </xdr:from>
        <xdr:to>
          <xdr:col>17</xdr:col>
          <xdr:colOff>285750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前月へ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3</xdr:row>
          <xdr:rowOff>238125</xdr:rowOff>
        </xdr:from>
        <xdr:to>
          <xdr:col>12</xdr:col>
          <xdr:colOff>9525</xdr:colOff>
          <xdr:row>5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1395338</xdr:colOff>
      <xdr:row>2</xdr:row>
      <xdr:rowOff>133350</xdr:rowOff>
    </xdr:from>
    <xdr:to>
      <xdr:col>6</xdr:col>
      <xdr:colOff>2043038</xdr:colOff>
      <xdr:row>5</xdr:row>
      <xdr:rowOff>0</xdr:rowOff>
    </xdr:to>
    <xdr:sp macro="" textlink="">
      <xdr:nvSpPr>
        <xdr:cNvPr id="7" name="Rectangle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>
        <a:xfrm>
          <a:off x="5157713" y="819150"/>
          <a:ext cx="647700" cy="666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27432" bIns="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 sz="1000"/>
          </a:pPr>
          <a:r>
            <a:rPr kumimoji="0" lang="ja-JP" altLang="en-US" sz="9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確認印</a:t>
          </a:r>
        </a:p>
      </xdr:txBody>
    </xdr:sp>
    <xdr:clientData/>
  </xdr:twoCellAnchor>
  <xdr:twoCellAnchor>
    <xdr:from>
      <xdr:col>6</xdr:col>
      <xdr:colOff>2280694</xdr:colOff>
      <xdr:row>2</xdr:row>
      <xdr:rowOff>131693</xdr:rowOff>
    </xdr:from>
    <xdr:to>
      <xdr:col>6</xdr:col>
      <xdr:colOff>2928394</xdr:colOff>
      <xdr:row>4</xdr:row>
      <xdr:rowOff>263387</xdr:rowOff>
    </xdr:to>
    <xdr:sp macro="" textlink="">
      <xdr:nvSpPr>
        <xdr:cNvPr id="8" name="Rectangl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rrowheads="1"/>
        </xdr:cNvSpPr>
      </xdr:nvSpPr>
      <xdr:spPr>
        <a:xfrm>
          <a:off x="6043069" y="817493"/>
          <a:ext cx="647700" cy="6650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27432" bIns="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 sz="1000"/>
          </a:pPr>
          <a:r>
            <a:rPr kumimoji="0" lang="ja-JP" altLang="en-US" sz="9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確認印</a:t>
          </a:r>
        </a:p>
      </xdr:txBody>
    </xdr:sp>
    <xdr:clientData/>
  </xdr:twoCellAnchor>
  <xdr:twoCellAnchor>
    <xdr:from>
      <xdr:col>1</xdr:col>
      <xdr:colOff>419101</xdr:colOff>
      <xdr:row>40</xdr:row>
      <xdr:rowOff>227356</xdr:rowOff>
    </xdr:from>
    <xdr:to>
      <xdr:col>4</xdr:col>
      <xdr:colOff>152400</xdr:colOff>
      <xdr:row>42</xdr:row>
      <xdr:rowOff>27332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19126" y="9828556"/>
          <a:ext cx="206692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出社日数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133350</xdr:rowOff>
    </xdr:from>
    <xdr:to>
      <xdr:col>6</xdr:col>
      <xdr:colOff>1219200</xdr:colOff>
      <xdr:row>1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38326" y="133350"/>
          <a:ext cx="3143249" cy="504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4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作業報告書</a:t>
          </a:r>
        </a:p>
      </xdr:txBody>
    </xdr:sp>
    <xdr:clientData/>
  </xdr:twoCellAnchor>
  <xdr:twoCellAnchor>
    <xdr:from>
      <xdr:col>1</xdr:col>
      <xdr:colOff>38101</xdr:colOff>
      <xdr:row>2</xdr:row>
      <xdr:rowOff>9524</xdr:rowOff>
    </xdr:from>
    <xdr:to>
      <xdr:col>2</xdr:col>
      <xdr:colOff>289891</xdr:colOff>
      <xdr:row>3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38126" y="695324"/>
          <a:ext cx="899490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報告年月：</a:t>
          </a:r>
        </a:p>
      </xdr:txBody>
    </xdr:sp>
    <xdr:clientData/>
  </xdr:twoCellAnchor>
  <xdr:twoCellAnchor>
    <xdr:from>
      <xdr:col>1</xdr:col>
      <xdr:colOff>38101</xdr:colOff>
      <xdr:row>3</xdr:row>
      <xdr:rowOff>9524</xdr:rowOff>
    </xdr:from>
    <xdr:to>
      <xdr:col>4</xdr:col>
      <xdr:colOff>172720</xdr:colOff>
      <xdr:row>4</xdr:row>
      <xdr:rowOff>111760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8126" y="962024"/>
          <a:ext cx="2468244" cy="368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氏　　　　　　名：　前野謙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428626</xdr:colOff>
      <xdr:row>38</xdr:row>
      <xdr:rowOff>228599</xdr:rowOff>
    </xdr:from>
    <xdr:to>
      <xdr:col>4</xdr:col>
      <xdr:colOff>180975</xdr:colOff>
      <xdr:row>40</xdr:row>
      <xdr:rowOff>28575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28651" y="9372599"/>
          <a:ext cx="208597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作業時間合計（分単位）</a:t>
          </a:r>
        </a:p>
      </xdr:txBody>
    </xdr:sp>
    <xdr:clientData/>
  </xdr:twoCellAnchor>
  <xdr:twoCellAnchor>
    <xdr:from>
      <xdr:col>1</xdr:col>
      <xdr:colOff>419101</xdr:colOff>
      <xdr:row>39</xdr:row>
      <xdr:rowOff>219074</xdr:rowOff>
    </xdr:from>
    <xdr:to>
      <xdr:col>4</xdr:col>
      <xdr:colOff>152400</xdr:colOff>
      <xdr:row>41</xdr:row>
      <xdr:rowOff>19050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19126" y="9591674"/>
          <a:ext cx="206692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作業時間合計（時間単位）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333375</xdr:rowOff>
        </xdr:from>
        <xdr:to>
          <xdr:col>12</xdr:col>
          <xdr:colOff>38100</xdr:colOff>
          <xdr:row>3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次月へ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1</xdr:row>
          <xdr:rowOff>342900</xdr:rowOff>
        </xdr:from>
        <xdr:to>
          <xdr:col>17</xdr:col>
          <xdr:colOff>285750</xdr:colOff>
          <xdr:row>3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前月へ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3</xdr:row>
          <xdr:rowOff>238125</xdr:rowOff>
        </xdr:from>
        <xdr:to>
          <xdr:col>12</xdr:col>
          <xdr:colOff>9525</xdr:colOff>
          <xdr:row>5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1395338</xdr:colOff>
      <xdr:row>2</xdr:row>
      <xdr:rowOff>133350</xdr:rowOff>
    </xdr:from>
    <xdr:to>
      <xdr:col>6</xdr:col>
      <xdr:colOff>2043038</xdr:colOff>
      <xdr:row>5</xdr:row>
      <xdr:rowOff>0</xdr:rowOff>
    </xdr:to>
    <xdr:sp macro="" textlink="">
      <xdr:nvSpPr>
        <xdr:cNvPr id="7" name="Rectangle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>
        <a:xfrm>
          <a:off x="5157713" y="819150"/>
          <a:ext cx="647700" cy="666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27432" bIns="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 sz="1000"/>
          </a:pPr>
          <a:r>
            <a:rPr kumimoji="0" lang="ja-JP" altLang="en-US" sz="9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確認印</a:t>
          </a:r>
        </a:p>
      </xdr:txBody>
    </xdr:sp>
    <xdr:clientData/>
  </xdr:twoCellAnchor>
  <xdr:twoCellAnchor>
    <xdr:from>
      <xdr:col>6</xdr:col>
      <xdr:colOff>2280694</xdr:colOff>
      <xdr:row>2</xdr:row>
      <xdr:rowOff>131693</xdr:rowOff>
    </xdr:from>
    <xdr:to>
      <xdr:col>6</xdr:col>
      <xdr:colOff>2928394</xdr:colOff>
      <xdr:row>4</xdr:row>
      <xdr:rowOff>263387</xdr:rowOff>
    </xdr:to>
    <xdr:sp macro="" textlink="">
      <xdr:nvSpPr>
        <xdr:cNvPr id="8" name="Rectangle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>
        <a:xfrm>
          <a:off x="6043069" y="817493"/>
          <a:ext cx="647700" cy="6650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27432" bIns="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 sz="1000"/>
          </a:pPr>
          <a:r>
            <a:rPr kumimoji="0" lang="ja-JP" altLang="en-US" sz="9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確認印</a:t>
          </a:r>
        </a:p>
      </xdr:txBody>
    </xdr:sp>
    <xdr:clientData/>
  </xdr:twoCellAnchor>
  <xdr:twoCellAnchor>
    <xdr:from>
      <xdr:col>1</xdr:col>
      <xdr:colOff>419101</xdr:colOff>
      <xdr:row>40</xdr:row>
      <xdr:rowOff>227356</xdr:rowOff>
    </xdr:from>
    <xdr:to>
      <xdr:col>4</xdr:col>
      <xdr:colOff>152400</xdr:colOff>
      <xdr:row>42</xdr:row>
      <xdr:rowOff>27332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19126" y="9828556"/>
          <a:ext cx="2066924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出社日数</a:t>
          </a:r>
        </a:p>
      </xdr:txBody>
    </xdr:sp>
    <xdr:clientData/>
  </xdr:twoCellAnchor>
  <xdr:twoCellAnchor>
    <xdr:from>
      <xdr:col>6</xdr:col>
      <xdr:colOff>2876549</xdr:colOff>
      <xdr:row>0</xdr:row>
      <xdr:rowOff>57150</xdr:rowOff>
    </xdr:from>
    <xdr:to>
      <xdr:col>15</xdr:col>
      <xdr:colOff>95249</xdr:colOff>
      <xdr:row>5</xdr:row>
      <xdr:rowOff>228600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EBC145A8-EB77-F0A1-3F05-F41E9B9C48E8}"/>
            </a:ext>
            <a:ext uri="{147F2762-F138-4A5C-976F-8EAC2B608ADB}">
              <a16:predDERef xmlns:a16="http://schemas.microsoft.com/office/drawing/2014/main" pred="{00000000-0008-0000-0200-000009000000}"/>
            </a:ext>
          </a:extLst>
        </xdr:cNvPr>
        <xdr:cNvSpPr txBox="1"/>
      </xdr:nvSpPr>
      <xdr:spPr>
        <a:xfrm>
          <a:off x="6638924" y="57150"/>
          <a:ext cx="2619375" cy="16573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具体的にどの領域の作業を実施したのか記載してください。</a:t>
          </a:r>
          <a:endParaRPr kumimoji="1" lang="en-US" altLang="ja-JP" sz="1100"/>
        </a:p>
        <a:p>
          <a:r>
            <a:rPr kumimoji="1" lang="ja-JP" altLang="en-US" sz="1100"/>
            <a:t>例）障害分析＃００１の調査</a:t>
          </a:r>
          <a:endParaRPr kumimoji="1" lang="en-US" altLang="ja-JP" sz="1100"/>
        </a:p>
        <a:p>
          <a:r>
            <a:rPr kumimoji="1" lang="ja-JP" altLang="en-US" sz="1100"/>
            <a:t>　　個別要件の検討設計書作成</a:t>
          </a:r>
          <a:endParaRPr kumimoji="1" lang="en-US" altLang="ja-JP" sz="1100"/>
        </a:p>
        <a:p>
          <a:r>
            <a:rPr kumimoji="1" lang="en-US" altLang="ja-JP" sz="1100"/>
            <a:t>   </a:t>
          </a:r>
          <a:r>
            <a:rPr kumimoji="1" lang="ja-JP" altLang="en-US" sz="1100"/>
            <a:t>注意：どの領域の作業をしたのか具体的に記載してください。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4F38-2B22-45AE-A041-C992AFF10A9E}">
  <sheetPr codeName="Sheet3"/>
  <dimension ref="B1:W42"/>
  <sheetViews>
    <sheetView showGridLines="0" view="pageBreakPreview" topLeftCell="A2" zoomScale="115" zoomScaleNormal="75" zoomScaleSheetLayoutView="115" workbookViewId="0">
      <selection activeCell="S17" sqref="S17"/>
    </sheetView>
  </sheetViews>
  <sheetFormatPr defaultColWidth="9" defaultRowHeight="15.75"/>
  <cols>
    <col min="1" max="1" width="2.625" style="1" customWidth="1"/>
    <col min="2" max="2" width="8.5" style="2" customWidth="1"/>
    <col min="3" max="3" width="8" style="2" customWidth="1"/>
    <col min="4" max="4" width="14.125" style="2" customWidth="1"/>
    <col min="5" max="5" width="11" style="1" customWidth="1"/>
    <col min="6" max="6" width="5.125" style="1" customWidth="1"/>
    <col min="7" max="7" width="39.5" style="1" customWidth="1"/>
    <col min="8" max="9" width="2.75" style="1" customWidth="1"/>
    <col min="10" max="10" width="5.125" style="2" customWidth="1"/>
    <col min="11" max="11" width="6.5" style="2" customWidth="1"/>
    <col min="12" max="12" width="5.625" style="1" customWidth="1"/>
    <col min="13" max="13" width="0.875" style="1" customWidth="1"/>
    <col min="14" max="14" width="5.625" style="1" customWidth="1"/>
    <col min="15" max="15" width="2.125" style="1" customWidth="1"/>
    <col min="16" max="16" width="5.625" style="1" customWidth="1"/>
    <col min="17" max="17" width="0.875" style="1" customWidth="1"/>
    <col min="18" max="18" width="5.625" style="1" customWidth="1"/>
    <col min="19" max="19" width="6" style="2" customWidth="1"/>
    <col min="20" max="21" width="7.5" style="2" customWidth="1"/>
    <col min="22" max="24" width="9" style="1"/>
    <col min="25" max="25" width="20.375" style="1" customWidth="1"/>
    <col min="26" max="16384" width="9" style="1"/>
  </cols>
  <sheetData>
    <row r="1" spans="2:23" ht="26.45" customHeight="1">
      <c r="B1" s="3" t="s">
        <v>0</v>
      </c>
      <c r="C1" s="4"/>
      <c r="D1" s="4"/>
      <c r="E1" s="3"/>
      <c r="F1" s="3"/>
      <c r="G1" s="3"/>
      <c r="J1" s="3"/>
      <c r="K1" s="4"/>
      <c r="L1" s="3"/>
      <c r="M1" s="3"/>
      <c r="N1" s="3"/>
      <c r="O1" s="3"/>
      <c r="P1" s="3"/>
      <c r="Q1" s="3"/>
      <c r="R1" s="3"/>
      <c r="S1" s="4"/>
      <c r="T1" s="4"/>
      <c r="U1" s="4"/>
    </row>
    <row r="2" spans="2:23" ht="27.75" customHeight="1">
      <c r="C2" s="5"/>
      <c r="D2" s="4"/>
      <c r="E2" s="3"/>
      <c r="F2" s="3"/>
      <c r="G2" s="3"/>
      <c r="K2" s="5"/>
      <c r="L2" s="3"/>
      <c r="M2" s="3"/>
      <c r="N2" s="3"/>
      <c r="O2" s="3"/>
      <c r="P2" s="3"/>
      <c r="Q2" s="3"/>
      <c r="R2" s="3"/>
      <c r="S2" s="4"/>
      <c r="T2" s="4"/>
      <c r="U2" s="4"/>
    </row>
    <row r="3" spans="2:23" ht="21.2" customHeight="1">
      <c r="B3" s="6"/>
      <c r="D3" s="56">
        <v>45444</v>
      </c>
      <c r="E3" s="61"/>
      <c r="F3" s="3"/>
      <c r="G3" s="3"/>
      <c r="J3" s="7"/>
      <c r="K3" s="6"/>
      <c r="L3" s="3"/>
      <c r="M3" s="3"/>
      <c r="N3" s="78"/>
      <c r="O3" s="78"/>
      <c r="P3" s="3"/>
      <c r="Q3" s="3"/>
      <c r="R3" s="3"/>
      <c r="S3" s="4"/>
      <c r="T3" s="4"/>
      <c r="U3" s="4"/>
    </row>
    <row r="4" spans="2:23" ht="21.2" customHeight="1">
      <c r="B4" s="6"/>
      <c r="D4" s="71"/>
      <c r="E4" s="71"/>
      <c r="F4" s="3"/>
      <c r="G4" s="3"/>
      <c r="J4" s="7"/>
      <c r="K4" s="6"/>
      <c r="L4" s="3"/>
      <c r="M4" s="3"/>
      <c r="N4" s="3"/>
      <c r="O4" s="3"/>
      <c r="P4" s="3"/>
      <c r="Q4" s="3"/>
      <c r="R4" s="3"/>
      <c r="S4" s="4"/>
      <c r="T4" s="4"/>
      <c r="U4" s="4"/>
    </row>
    <row r="5" spans="2:23" ht="21.2" customHeight="1">
      <c r="B5" s="6"/>
      <c r="D5" s="71"/>
      <c r="E5" s="71"/>
      <c r="F5" s="3"/>
      <c r="G5" s="3"/>
      <c r="J5" s="7"/>
      <c r="K5" s="6"/>
      <c r="L5" s="3"/>
      <c r="M5" s="3"/>
      <c r="N5" s="3"/>
      <c r="O5" s="3"/>
      <c r="P5" s="3"/>
      <c r="Q5" s="3"/>
      <c r="R5" s="3"/>
      <c r="S5" s="4"/>
      <c r="T5" s="4"/>
      <c r="U5" s="4"/>
    </row>
    <row r="6" spans="2:23" ht="21.75" thickBot="1">
      <c r="B6" s="67" t="s">
        <v>1</v>
      </c>
      <c r="C6" s="4"/>
      <c r="D6" s="4"/>
      <c r="E6" s="8"/>
      <c r="F6" s="8"/>
      <c r="G6" s="8"/>
      <c r="J6" s="7"/>
      <c r="K6" s="4"/>
      <c r="L6" s="3"/>
      <c r="M6" s="3"/>
      <c r="N6" s="3"/>
      <c r="O6" s="3"/>
      <c r="P6" s="3"/>
      <c r="Q6" s="3"/>
      <c r="R6" s="3"/>
      <c r="S6" s="55" t="s">
        <v>2</v>
      </c>
      <c r="T6" s="4"/>
      <c r="U6" s="4"/>
    </row>
    <row r="7" spans="2:23" ht="23.25" customHeight="1">
      <c r="B7" s="9" t="s">
        <v>3</v>
      </c>
      <c r="C7" s="10" t="s">
        <v>4</v>
      </c>
      <c r="D7" s="10" t="s">
        <v>5</v>
      </c>
      <c r="E7" s="72" t="s">
        <v>6</v>
      </c>
      <c r="F7" s="73"/>
      <c r="G7" s="74"/>
      <c r="J7" s="27" t="s">
        <v>3</v>
      </c>
      <c r="K7" s="28" t="s">
        <v>4</v>
      </c>
      <c r="L7" s="75" t="s">
        <v>7</v>
      </c>
      <c r="M7" s="69"/>
      <c r="N7" s="69"/>
      <c r="O7" s="69"/>
      <c r="P7" s="69"/>
      <c r="Q7" s="69"/>
      <c r="R7" s="69"/>
      <c r="S7" s="28" t="s">
        <v>8</v>
      </c>
      <c r="T7" s="69" t="s">
        <v>9</v>
      </c>
      <c r="U7" s="70"/>
      <c r="W7" s="1" t="s">
        <v>10</v>
      </c>
    </row>
    <row r="8" spans="2:23" ht="18" customHeight="1">
      <c r="B8" s="11">
        <f>D3</f>
        <v>45444</v>
      </c>
      <c r="C8" s="12">
        <f t="shared" ref="C8:C38" si="0">B8</f>
        <v>45444</v>
      </c>
      <c r="D8" s="13">
        <f t="shared" ref="D8:D38" si="1">((P8+R8/60)-(L8+N8/60)-S8)*60</f>
        <v>0</v>
      </c>
      <c r="E8" s="79"/>
      <c r="F8" s="80"/>
      <c r="G8" s="81"/>
      <c r="J8" s="29">
        <f>B8</f>
        <v>45444</v>
      </c>
      <c r="K8" s="30">
        <f t="shared" ref="K8:K38" si="2">J8</f>
        <v>45444</v>
      </c>
      <c r="L8" s="31"/>
      <c r="M8" s="32" t="s">
        <v>11</v>
      </c>
      <c r="N8" s="32"/>
      <c r="O8" s="32" t="s">
        <v>12</v>
      </c>
      <c r="P8" s="32"/>
      <c r="Q8" s="32" t="s">
        <v>11</v>
      </c>
      <c r="R8" s="40"/>
      <c r="S8" s="68"/>
      <c r="T8" s="41">
        <f t="shared" ref="T8:T38" si="3">ROUNDDOWN(D8/60,0)</f>
        <v>0</v>
      </c>
      <c r="U8" s="42">
        <f t="shared" ref="U8:U38" si="4">D8-(T8*60)</f>
        <v>0</v>
      </c>
      <c r="W8" s="1">
        <f>COUNTIF(祝日!$B$2:$B$18,J8)</f>
        <v>0</v>
      </c>
    </row>
    <row r="9" spans="2:23" ht="18" customHeight="1">
      <c r="B9" s="11">
        <f t="shared" ref="B9:B35" si="5">B8+1</f>
        <v>45445</v>
      </c>
      <c r="C9" s="12">
        <f t="shared" si="0"/>
        <v>45445</v>
      </c>
      <c r="D9" s="14">
        <f t="shared" si="1"/>
        <v>0</v>
      </c>
      <c r="E9" s="79"/>
      <c r="F9" s="80"/>
      <c r="G9" s="81"/>
      <c r="J9" s="29">
        <f t="shared" ref="J9:J35" si="6">J8+1</f>
        <v>45445</v>
      </c>
      <c r="K9" s="30">
        <f t="shared" si="2"/>
        <v>45445</v>
      </c>
      <c r="L9" s="31"/>
      <c r="M9" s="32" t="s">
        <v>11</v>
      </c>
      <c r="N9" s="32"/>
      <c r="O9" s="32" t="s">
        <v>12</v>
      </c>
      <c r="P9" s="32"/>
      <c r="Q9" s="32" t="s">
        <v>11</v>
      </c>
      <c r="R9" s="40"/>
      <c r="S9" s="68"/>
      <c r="T9" s="43">
        <f t="shared" si="3"/>
        <v>0</v>
      </c>
      <c r="U9" s="44">
        <f t="shared" si="4"/>
        <v>0</v>
      </c>
      <c r="W9" s="1">
        <f>COUNTIF(祝日!$B$2:$B$18,J9)</f>
        <v>0</v>
      </c>
    </row>
    <row r="10" spans="2:23" ht="18" customHeight="1">
      <c r="B10" s="11">
        <f t="shared" si="5"/>
        <v>45446</v>
      </c>
      <c r="C10" s="12">
        <f t="shared" si="0"/>
        <v>45446</v>
      </c>
      <c r="D10" s="14">
        <f t="shared" si="1"/>
        <v>540</v>
      </c>
      <c r="E10" s="79" t="s">
        <v>13</v>
      </c>
      <c r="F10" s="80"/>
      <c r="G10" s="81"/>
      <c r="J10" s="29">
        <f t="shared" si="6"/>
        <v>45446</v>
      </c>
      <c r="K10" s="30">
        <f t="shared" si="2"/>
        <v>45446</v>
      </c>
      <c r="L10" s="31">
        <v>9</v>
      </c>
      <c r="M10" s="32" t="s">
        <v>11</v>
      </c>
      <c r="N10" s="32">
        <v>0</v>
      </c>
      <c r="O10" s="32" t="s">
        <v>12</v>
      </c>
      <c r="P10" s="32">
        <v>19</v>
      </c>
      <c r="Q10" s="32" t="s">
        <v>11</v>
      </c>
      <c r="R10" s="40">
        <v>0</v>
      </c>
      <c r="S10" s="68">
        <v>1</v>
      </c>
      <c r="T10" s="43">
        <f t="shared" si="3"/>
        <v>9</v>
      </c>
      <c r="U10" s="44">
        <f t="shared" si="4"/>
        <v>0</v>
      </c>
      <c r="W10" s="1">
        <f>COUNTIF(祝日!$B$2:$B$18,J10)</f>
        <v>0</v>
      </c>
    </row>
    <row r="11" spans="2:23" ht="18" customHeight="1">
      <c r="B11" s="11">
        <f t="shared" si="5"/>
        <v>45447</v>
      </c>
      <c r="C11" s="12">
        <f t="shared" si="0"/>
        <v>45447</v>
      </c>
      <c r="D11" s="14">
        <f t="shared" si="1"/>
        <v>570</v>
      </c>
      <c r="E11" s="79" t="s">
        <v>13</v>
      </c>
      <c r="F11" s="80"/>
      <c r="G11" s="81"/>
      <c r="J11" s="29">
        <f t="shared" si="6"/>
        <v>45447</v>
      </c>
      <c r="K11" s="30">
        <f t="shared" si="2"/>
        <v>45447</v>
      </c>
      <c r="L11" s="31">
        <v>8</v>
      </c>
      <c r="M11" s="32" t="s">
        <v>11</v>
      </c>
      <c r="N11" s="32">
        <v>30</v>
      </c>
      <c r="O11" s="32" t="s">
        <v>12</v>
      </c>
      <c r="P11" s="32">
        <v>19</v>
      </c>
      <c r="Q11" s="32" t="s">
        <v>11</v>
      </c>
      <c r="R11" s="40">
        <v>0</v>
      </c>
      <c r="S11" s="68">
        <v>1</v>
      </c>
      <c r="T11" s="43">
        <f t="shared" si="3"/>
        <v>9</v>
      </c>
      <c r="U11" s="44">
        <f t="shared" si="4"/>
        <v>30</v>
      </c>
      <c r="W11" s="1">
        <f>COUNTIF(祝日!$B$2:$B$18,J11)</f>
        <v>0</v>
      </c>
    </row>
    <row r="12" spans="2:23" ht="18" customHeight="1">
      <c r="B12" s="11">
        <f t="shared" si="5"/>
        <v>45448</v>
      </c>
      <c r="C12" s="12">
        <f t="shared" si="0"/>
        <v>45448</v>
      </c>
      <c r="D12" s="14">
        <f t="shared" si="1"/>
        <v>570</v>
      </c>
      <c r="E12" s="79" t="s">
        <v>13</v>
      </c>
      <c r="F12" s="80"/>
      <c r="G12" s="81"/>
      <c r="J12" s="29">
        <f t="shared" si="6"/>
        <v>45448</v>
      </c>
      <c r="K12" s="30">
        <f t="shared" si="2"/>
        <v>45448</v>
      </c>
      <c r="L12" s="31">
        <v>8</v>
      </c>
      <c r="M12" s="32" t="s">
        <v>11</v>
      </c>
      <c r="N12" s="32">
        <v>30</v>
      </c>
      <c r="O12" s="32" t="s">
        <v>12</v>
      </c>
      <c r="P12" s="32">
        <v>19</v>
      </c>
      <c r="Q12" s="32" t="s">
        <v>11</v>
      </c>
      <c r="R12" s="40">
        <v>0</v>
      </c>
      <c r="S12" s="68">
        <v>1</v>
      </c>
      <c r="T12" s="43">
        <f t="shared" si="3"/>
        <v>9</v>
      </c>
      <c r="U12" s="44">
        <f t="shared" si="4"/>
        <v>30</v>
      </c>
      <c r="W12" s="1">
        <f>COUNTIF(祝日!$B$2:$B$18,J12)</f>
        <v>0</v>
      </c>
    </row>
    <row r="13" spans="2:23" ht="18" customHeight="1">
      <c r="B13" s="11">
        <f t="shared" si="5"/>
        <v>45449</v>
      </c>
      <c r="C13" s="12">
        <f t="shared" si="0"/>
        <v>45449</v>
      </c>
      <c r="D13" s="14">
        <f t="shared" si="1"/>
        <v>570</v>
      </c>
      <c r="E13" s="79" t="s">
        <v>13</v>
      </c>
      <c r="F13" s="80"/>
      <c r="G13" s="81"/>
      <c r="J13" s="29">
        <f t="shared" si="6"/>
        <v>45449</v>
      </c>
      <c r="K13" s="30">
        <f t="shared" si="2"/>
        <v>45449</v>
      </c>
      <c r="L13" s="31">
        <v>8</v>
      </c>
      <c r="M13" s="32" t="s">
        <v>11</v>
      </c>
      <c r="N13" s="32">
        <v>30</v>
      </c>
      <c r="O13" s="32" t="s">
        <v>12</v>
      </c>
      <c r="P13" s="32">
        <v>19</v>
      </c>
      <c r="Q13" s="32" t="s">
        <v>11</v>
      </c>
      <c r="R13" s="40">
        <v>0</v>
      </c>
      <c r="S13" s="68">
        <v>1</v>
      </c>
      <c r="T13" s="43">
        <f t="shared" si="3"/>
        <v>9</v>
      </c>
      <c r="U13" s="44">
        <f t="shared" si="4"/>
        <v>30</v>
      </c>
      <c r="W13" s="1">
        <f>COUNTIF(祝日!$B$2:$B$18,J13)</f>
        <v>0</v>
      </c>
    </row>
    <row r="14" spans="2:23" ht="18" customHeight="1">
      <c r="B14" s="11">
        <f t="shared" si="5"/>
        <v>45450</v>
      </c>
      <c r="C14" s="12">
        <f t="shared" si="0"/>
        <v>45450</v>
      </c>
      <c r="D14" s="13">
        <f t="shared" si="1"/>
        <v>630</v>
      </c>
      <c r="E14" s="79" t="s">
        <v>14</v>
      </c>
      <c r="F14" s="80"/>
      <c r="G14" s="81"/>
      <c r="J14" s="29">
        <f t="shared" si="6"/>
        <v>45450</v>
      </c>
      <c r="K14" s="30">
        <f t="shared" si="2"/>
        <v>45450</v>
      </c>
      <c r="L14" s="31">
        <v>8</v>
      </c>
      <c r="M14" s="32" t="s">
        <v>11</v>
      </c>
      <c r="N14" s="32">
        <v>30</v>
      </c>
      <c r="O14" s="32" t="s">
        <v>12</v>
      </c>
      <c r="P14" s="32">
        <v>20</v>
      </c>
      <c r="Q14" s="32" t="s">
        <v>11</v>
      </c>
      <c r="R14" s="40">
        <v>0</v>
      </c>
      <c r="S14" s="68">
        <v>1</v>
      </c>
      <c r="T14" s="43">
        <f t="shared" si="3"/>
        <v>10</v>
      </c>
      <c r="U14" s="44">
        <f t="shared" si="4"/>
        <v>30</v>
      </c>
      <c r="W14" s="1">
        <f>COUNTIF(祝日!$B$2:$B$18,J14)</f>
        <v>0</v>
      </c>
    </row>
    <row r="15" spans="2:23" ht="18" customHeight="1">
      <c r="B15" s="11">
        <f t="shared" si="5"/>
        <v>45451</v>
      </c>
      <c r="C15" s="12">
        <f t="shared" si="0"/>
        <v>45451</v>
      </c>
      <c r="D15" s="13">
        <f t="shared" si="1"/>
        <v>510</v>
      </c>
      <c r="E15" s="79" t="s">
        <v>15</v>
      </c>
      <c r="F15" s="80"/>
      <c r="G15" s="81"/>
      <c r="J15" s="29">
        <f t="shared" si="6"/>
        <v>45451</v>
      </c>
      <c r="K15" s="30">
        <f t="shared" si="2"/>
        <v>45451</v>
      </c>
      <c r="L15" s="31">
        <v>9</v>
      </c>
      <c r="M15" s="32" t="s">
        <v>11</v>
      </c>
      <c r="N15" s="32">
        <v>0</v>
      </c>
      <c r="O15" s="32" t="s">
        <v>12</v>
      </c>
      <c r="P15" s="32">
        <v>18</v>
      </c>
      <c r="Q15" s="32" t="s">
        <v>11</v>
      </c>
      <c r="R15" s="40">
        <v>30</v>
      </c>
      <c r="S15" s="68">
        <v>1</v>
      </c>
      <c r="T15" s="43">
        <f t="shared" si="3"/>
        <v>8</v>
      </c>
      <c r="U15" s="44">
        <f t="shared" si="4"/>
        <v>30</v>
      </c>
      <c r="W15" s="1">
        <f>COUNTIF(祝日!$B$2:$B$18,J15)</f>
        <v>0</v>
      </c>
    </row>
    <row r="16" spans="2:23" ht="18" customHeight="1">
      <c r="B16" s="11">
        <f t="shared" si="5"/>
        <v>45452</v>
      </c>
      <c r="C16" s="12">
        <f t="shared" si="0"/>
        <v>45452</v>
      </c>
      <c r="D16" s="13">
        <f t="shared" si="1"/>
        <v>0</v>
      </c>
      <c r="E16" s="79"/>
      <c r="F16" s="80"/>
      <c r="G16" s="81"/>
      <c r="J16" s="29">
        <f t="shared" si="6"/>
        <v>45452</v>
      </c>
      <c r="K16" s="30">
        <f t="shared" si="2"/>
        <v>45452</v>
      </c>
      <c r="L16" s="31"/>
      <c r="M16" s="32" t="s">
        <v>11</v>
      </c>
      <c r="N16" s="32"/>
      <c r="O16" s="32" t="s">
        <v>12</v>
      </c>
      <c r="P16" s="32"/>
      <c r="Q16" s="32" t="s">
        <v>11</v>
      </c>
      <c r="R16" s="40"/>
      <c r="S16" s="68"/>
      <c r="T16" s="43">
        <f t="shared" si="3"/>
        <v>0</v>
      </c>
      <c r="U16" s="44">
        <f t="shared" si="4"/>
        <v>0</v>
      </c>
      <c r="W16" s="1">
        <f>COUNTIF(祝日!$B$2:$B$18,J16)</f>
        <v>0</v>
      </c>
    </row>
    <row r="17" spans="2:23" ht="18" customHeight="1">
      <c r="B17" s="11">
        <f t="shared" si="5"/>
        <v>45453</v>
      </c>
      <c r="C17" s="12">
        <f t="shared" si="0"/>
        <v>45453</v>
      </c>
      <c r="D17" s="13">
        <f t="shared" si="1"/>
        <v>420</v>
      </c>
      <c r="E17" s="79" t="s">
        <v>16</v>
      </c>
      <c r="F17" s="80"/>
      <c r="G17" s="81"/>
      <c r="J17" s="29">
        <f t="shared" si="6"/>
        <v>45453</v>
      </c>
      <c r="K17" s="30">
        <f t="shared" si="2"/>
        <v>45453</v>
      </c>
      <c r="L17" s="31">
        <v>8</v>
      </c>
      <c r="M17" s="32" t="s">
        <v>11</v>
      </c>
      <c r="N17" s="32">
        <v>30</v>
      </c>
      <c r="O17" s="32" t="s">
        <v>12</v>
      </c>
      <c r="P17" s="32">
        <v>19</v>
      </c>
      <c r="Q17" s="32" t="s">
        <v>11</v>
      </c>
      <c r="R17" s="40">
        <v>30</v>
      </c>
      <c r="S17" s="68">
        <v>4</v>
      </c>
      <c r="T17" s="43">
        <f t="shared" si="3"/>
        <v>7</v>
      </c>
      <c r="U17" s="44">
        <f t="shared" si="4"/>
        <v>0</v>
      </c>
      <c r="W17" s="1">
        <f>COUNTIF(祝日!$B$2:$B$18,J17)</f>
        <v>0</v>
      </c>
    </row>
    <row r="18" spans="2:23" ht="18" customHeight="1">
      <c r="B18" s="11">
        <f t="shared" si="5"/>
        <v>45454</v>
      </c>
      <c r="C18" s="12">
        <f t="shared" si="0"/>
        <v>45454</v>
      </c>
      <c r="D18" s="13">
        <f t="shared" si="1"/>
        <v>600</v>
      </c>
      <c r="E18" s="79" t="s">
        <v>14</v>
      </c>
      <c r="F18" s="80"/>
      <c r="G18" s="81"/>
      <c r="J18" s="29">
        <f t="shared" si="6"/>
        <v>45454</v>
      </c>
      <c r="K18" s="30">
        <f t="shared" si="2"/>
        <v>45454</v>
      </c>
      <c r="L18" s="31">
        <v>8</v>
      </c>
      <c r="M18" s="32" t="s">
        <v>11</v>
      </c>
      <c r="N18" s="32">
        <v>30</v>
      </c>
      <c r="O18" s="32" t="s">
        <v>12</v>
      </c>
      <c r="P18" s="32">
        <v>19</v>
      </c>
      <c r="Q18" s="32" t="s">
        <v>11</v>
      </c>
      <c r="R18" s="40">
        <v>30</v>
      </c>
      <c r="S18" s="68">
        <v>1</v>
      </c>
      <c r="T18" s="43">
        <f t="shared" si="3"/>
        <v>10</v>
      </c>
      <c r="U18" s="44">
        <f t="shared" si="4"/>
        <v>0</v>
      </c>
      <c r="W18" s="1">
        <f>COUNTIF(祝日!$B$2:$B$18,J18)</f>
        <v>0</v>
      </c>
    </row>
    <row r="19" spans="2:23" ht="18" customHeight="1">
      <c r="B19" s="11">
        <f t="shared" si="5"/>
        <v>45455</v>
      </c>
      <c r="C19" s="12">
        <f t="shared" si="0"/>
        <v>45455</v>
      </c>
      <c r="D19" s="13">
        <f t="shared" si="1"/>
        <v>600</v>
      </c>
      <c r="E19" s="79" t="s">
        <v>14</v>
      </c>
      <c r="F19" s="80"/>
      <c r="G19" s="81"/>
      <c r="J19" s="29">
        <f t="shared" si="6"/>
        <v>45455</v>
      </c>
      <c r="K19" s="30">
        <f t="shared" si="2"/>
        <v>45455</v>
      </c>
      <c r="L19" s="31">
        <v>8</v>
      </c>
      <c r="M19" s="32" t="s">
        <v>11</v>
      </c>
      <c r="N19" s="32">
        <v>30</v>
      </c>
      <c r="O19" s="32" t="s">
        <v>12</v>
      </c>
      <c r="P19" s="32">
        <v>19</v>
      </c>
      <c r="Q19" s="32" t="s">
        <v>11</v>
      </c>
      <c r="R19" s="40">
        <v>30</v>
      </c>
      <c r="S19" s="68">
        <v>1</v>
      </c>
      <c r="T19" s="43">
        <f t="shared" si="3"/>
        <v>10</v>
      </c>
      <c r="U19" s="44">
        <f t="shared" si="4"/>
        <v>0</v>
      </c>
      <c r="W19" s="1">
        <f>COUNTIF(祝日!$B$2:$B$18,J19)</f>
        <v>0</v>
      </c>
    </row>
    <row r="20" spans="2:23" ht="18" customHeight="1">
      <c r="B20" s="11">
        <f t="shared" si="5"/>
        <v>45456</v>
      </c>
      <c r="C20" s="12">
        <f t="shared" si="0"/>
        <v>45456</v>
      </c>
      <c r="D20" s="13">
        <f t="shared" si="1"/>
        <v>600</v>
      </c>
      <c r="E20" s="79" t="s">
        <v>14</v>
      </c>
      <c r="F20" s="80"/>
      <c r="G20" s="81"/>
      <c r="J20" s="29">
        <f t="shared" si="6"/>
        <v>45456</v>
      </c>
      <c r="K20" s="30">
        <f t="shared" si="2"/>
        <v>45456</v>
      </c>
      <c r="L20" s="31">
        <v>8</v>
      </c>
      <c r="M20" s="32" t="s">
        <v>11</v>
      </c>
      <c r="N20" s="32">
        <v>30</v>
      </c>
      <c r="O20" s="32" t="s">
        <v>12</v>
      </c>
      <c r="P20" s="32">
        <v>19</v>
      </c>
      <c r="Q20" s="32" t="s">
        <v>11</v>
      </c>
      <c r="R20" s="40">
        <v>30</v>
      </c>
      <c r="S20" s="68">
        <v>1</v>
      </c>
      <c r="T20" s="43">
        <f t="shared" si="3"/>
        <v>10</v>
      </c>
      <c r="U20" s="44">
        <f t="shared" si="4"/>
        <v>0</v>
      </c>
      <c r="W20" s="1">
        <f>COUNTIF(祝日!$B$2:$B$18,J20)</f>
        <v>0</v>
      </c>
    </row>
    <row r="21" spans="2:23" ht="18" customHeight="1">
      <c r="B21" s="11">
        <f t="shared" si="5"/>
        <v>45457</v>
      </c>
      <c r="C21" s="12">
        <f t="shared" si="0"/>
        <v>45457</v>
      </c>
      <c r="D21" s="13">
        <f t="shared" si="1"/>
        <v>600</v>
      </c>
      <c r="E21" s="79" t="s">
        <v>14</v>
      </c>
      <c r="F21" s="80"/>
      <c r="G21" s="81"/>
      <c r="J21" s="29">
        <f t="shared" si="6"/>
        <v>45457</v>
      </c>
      <c r="K21" s="30">
        <f t="shared" si="2"/>
        <v>45457</v>
      </c>
      <c r="L21" s="31">
        <v>8</v>
      </c>
      <c r="M21" s="32" t="s">
        <v>11</v>
      </c>
      <c r="N21" s="32">
        <v>30</v>
      </c>
      <c r="O21" s="32" t="s">
        <v>12</v>
      </c>
      <c r="P21" s="32">
        <v>19</v>
      </c>
      <c r="Q21" s="32" t="s">
        <v>11</v>
      </c>
      <c r="R21" s="40">
        <v>30</v>
      </c>
      <c r="S21" s="68">
        <v>1</v>
      </c>
      <c r="T21" s="43">
        <f t="shared" si="3"/>
        <v>10</v>
      </c>
      <c r="U21" s="44">
        <f t="shared" si="4"/>
        <v>0</v>
      </c>
      <c r="W21" s="1">
        <f>COUNTIF(祝日!$B$2:$B$18,J21)</f>
        <v>0</v>
      </c>
    </row>
    <row r="22" spans="2:23" ht="18" customHeight="1">
      <c r="B22" s="11">
        <f t="shared" si="5"/>
        <v>45458</v>
      </c>
      <c r="C22" s="12">
        <f t="shared" si="0"/>
        <v>45458</v>
      </c>
      <c r="D22" s="13">
        <f t="shared" si="1"/>
        <v>0</v>
      </c>
      <c r="E22" s="79"/>
      <c r="F22" s="80"/>
      <c r="G22" s="81"/>
      <c r="J22" s="29">
        <f t="shared" si="6"/>
        <v>45458</v>
      </c>
      <c r="K22" s="30">
        <f t="shared" si="2"/>
        <v>45458</v>
      </c>
      <c r="L22" s="31"/>
      <c r="M22" s="32" t="s">
        <v>11</v>
      </c>
      <c r="N22" s="32"/>
      <c r="O22" s="32" t="s">
        <v>12</v>
      </c>
      <c r="P22" s="32"/>
      <c r="Q22" s="32" t="s">
        <v>11</v>
      </c>
      <c r="R22" s="40"/>
      <c r="S22" s="68"/>
      <c r="T22" s="43">
        <f t="shared" si="3"/>
        <v>0</v>
      </c>
      <c r="U22" s="44">
        <f t="shared" si="4"/>
        <v>0</v>
      </c>
      <c r="W22" s="1">
        <f>COUNTIF(祝日!$B$2:$B$18,J22)</f>
        <v>0</v>
      </c>
    </row>
    <row r="23" spans="2:23" ht="18" customHeight="1">
      <c r="B23" s="11">
        <f t="shared" si="5"/>
        <v>45459</v>
      </c>
      <c r="C23" s="12">
        <f t="shared" si="0"/>
        <v>45459</v>
      </c>
      <c r="D23" s="13">
        <f t="shared" si="1"/>
        <v>0</v>
      </c>
      <c r="E23" s="79"/>
      <c r="F23" s="80"/>
      <c r="G23" s="81"/>
      <c r="J23" s="29">
        <f t="shared" si="6"/>
        <v>45459</v>
      </c>
      <c r="K23" s="30">
        <f t="shared" si="2"/>
        <v>45459</v>
      </c>
      <c r="L23" s="31"/>
      <c r="M23" s="32" t="s">
        <v>11</v>
      </c>
      <c r="N23" s="32"/>
      <c r="O23" s="32" t="s">
        <v>12</v>
      </c>
      <c r="P23" s="32"/>
      <c r="Q23" s="32" t="s">
        <v>11</v>
      </c>
      <c r="R23" s="40"/>
      <c r="S23" s="68"/>
      <c r="T23" s="43">
        <f t="shared" si="3"/>
        <v>0</v>
      </c>
      <c r="U23" s="44">
        <f t="shared" si="4"/>
        <v>0</v>
      </c>
      <c r="W23" s="1">
        <f>COUNTIF(祝日!$B$2:$B$18,J23)</f>
        <v>0</v>
      </c>
    </row>
    <row r="24" spans="2:23" ht="18" customHeight="1">
      <c r="B24" s="11">
        <f t="shared" si="5"/>
        <v>45460</v>
      </c>
      <c r="C24" s="12">
        <f t="shared" si="0"/>
        <v>45460</v>
      </c>
      <c r="D24" s="13">
        <f t="shared" si="1"/>
        <v>570</v>
      </c>
      <c r="E24" s="79" t="s">
        <v>14</v>
      </c>
      <c r="F24" s="80"/>
      <c r="G24" s="81"/>
      <c r="J24" s="29">
        <f t="shared" si="6"/>
        <v>45460</v>
      </c>
      <c r="K24" s="30">
        <f t="shared" si="2"/>
        <v>45460</v>
      </c>
      <c r="L24" s="31">
        <v>8</v>
      </c>
      <c r="M24" s="32" t="s">
        <v>11</v>
      </c>
      <c r="N24" s="32">
        <v>30</v>
      </c>
      <c r="O24" s="32" t="s">
        <v>12</v>
      </c>
      <c r="P24" s="32">
        <v>19</v>
      </c>
      <c r="Q24" s="32" t="s">
        <v>11</v>
      </c>
      <c r="R24" s="40">
        <v>0</v>
      </c>
      <c r="S24" s="68">
        <v>1</v>
      </c>
      <c r="T24" s="43">
        <f t="shared" si="3"/>
        <v>9</v>
      </c>
      <c r="U24" s="44">
        <f t="shared" si="4"/>
        <v>30</v>
      </c>
      <c r="W24" s="1">
        <f>COUNTIF(祝日!$B$2:$B$18,J24)</f>
        <v>0</v>
      </c>
    </row>
    <row r="25" spans="2:23" ht="18" customHeight="1">
      <c r="B25" s="11">
        <f t="shared" si="5"/>
        <v>45461</v>
      </c>
      <c r="C25" s="12">
        <f t="shared" si="0"/>
        <v>45461</v>
      </c>
      <c r="D25" s="13">
        <f t="shared" si="1"/>
        <v>570</v>
      </c>
      <c r="E25" s="79" t="s">
        <v>14</v>
      </c>
      <c r="F25" s="80"/>
      <c r="G25" s="81"/>
      <c r="J25" s="29">
        <f t="shared" si="6"/>
        <v>45461</v>
      </c>
      <c r="K25" s="30">
        <f t="shared" si="2"/>
        <v>45461</v>
      </c>
      <c r="L25" s="31">
        <v>8</v>
      </c>
      <c r="M25" s="32" t="s">
        <v>11</v>
      </c>
      <c r="N25" s="32">
        <v>30</v>
      </c>
      <c r="O25" s="32" t="s">
        <v>12</v>
      </c>
      <c r="P25" s="32">
        <v>19</v>
      </c>
      <c r="Q25" s="32" t="s">
        <v>11</v>
      </c>
      <c r="R25" s="40">
        <v>0</v>
      </c>
      <c r="S25" s="68">
        <v>1</v>
      </c>
      <c r="T25" s="43">
        <f t="shared" si="3"/>
        <v>9</v>
      </c>
      <c r="U25" s="44">
        <f t="shared" si="4"/>
        <v>30</v>
      </c>
      <c r="W25" s="1">
        <f>COUNTIF(祝日!$B$2:$B$18,J25)</f>
        <v>0</v>
      </c>
    </row>
    <row r="26" spans="2:23" ht="18" customHeight="1">
      <c r="B26" s="11">
        <f t="shared" si="5"/>
        <v>45462</v>
      </c>
      <c r="C26" s="12">
        <f t="shared" si="0"/>
        <v>45462</v>
      </c>
      <c r="D26" s="13">
        <f t="shared" si="1"/>
        <v>570</v>
      </c>
      <c r="E26" s="79" t="s">
        <v>14</v>
      </c>
      <c r="F26" s="80"/>
      <c r="G26" s="81"/>
      <c r="J26" s="29">
        <f t="shared" si="6"/>
        <v>45462</v>
      </c>
      <c r="K26" s="30">
        <f t="shared" si="2"/>
        <v>45462</v>
      </c>
      <c r="L26" s="31">
        <v>8</v>
      </c>
      <c r="M26" s="32" t="s">
        <v>11</v>
      </c>
      <c r="N26" s="32">
        <v>30</v>
      </c>
      <c r="O26" s="32" t="s">
        <v>12</v>
      </c>
      <c r="P26" s="32">
        <v>19</v>
      </c>
      <c r="Q26" s="32" t="s">
        <v>11</v>
      </c>
      <c r="R26" s="40">
        <v>0</v>
      </c>
      <c r="S26" s="68">
        <v>1</v>
      </c>
      <c r="T26" s="43">
        <f t="shared" si="3"/>
        <v>9</v>
      </c>
      <c r="U26" s="44">
        <f t="shared" si="4"/>
        <v>30</v>
      </c>
      <c r="W26" s="1">
        <f>COUNTIF(祝日!$B$2:$B$18,J26)</f>
        <v>0</v>
      </c>
    </row>
    <row r="27" spans="2:23" ht="18" customHeight="1">
      <c r="B27" s="11">
        <f t="shared" si="5"/>
        <v>45463</v>
      </c>
      <c r="C27" s="12">
        <f t="shared" si="0"/>
        <v>45463</v>
      </c>
      <c r="D27" s="13">
        <f t="shared" si="1"/>
        <v>570</v>
      </c>
      <c r="E27" s="79" t="s">
        <v>14</v>
      </c>
      <c r="F27" s="80"/>
      <c r="G27" s="81"/>
      <c r="J27" s="29">
        <f t="shared" si="6"/>
        <v>45463</v>
      </c>
      <c r="K27" s="30">
        <f t="shared" si="2"/>
        <v>45463</v>
      </c>
      <c r="L27" s="31">
        <v>8</v>
      </c>
      <c r="M27" s="32" t="s">
        <v>11</v>
      </c>
      <c r="N27" s="32">
        <v>30</v>
      </c>
      <c r="O27" s="32" t="s">
        <v>12</v>
      </c>
      <c r="P27" s="32">
        <v>19</v>
      </c>
      <c r="Q27" s="32" t="s">
        <v>11</v>
      </c>
      <c r="R27" s="40">
        <v>0</v>
      </c>
      <c r="S27" s="68">
        <v>1</v>
      </c>
      <c r="T27" s="43">
        <f t="shared" si="3"/>
        <v>9</v>
      </c>
      <c r="U27" s="44">
        <f t="shared" si="4"/>
        <v>30</v>
      </c>
      <c r="W27" s="1">
        <f>COUNTIF(祝日!$B$2:$B$18,J27)</f>
        <v>0</v>
      </c>
    </row>
    <row r="28" spans="2:23" ht="18" customHeight="1">
      <c r="B28" s="11">
        <f t="shared" si="5"/>
        <v>45464</v>
      </c>
      <c r="C28" s="12">
        <f t="shared" si="0"/>
        <v>45464</v>
      </c>
      <c r="D28" s="14">
        <f t="shared" si="1"/>
        <v>570</v>
      </c>
      <c r="E28" s="79" t="s">
        <v>14</v>
      </c>
      <c r="F28" s="80"/>
      <c r="G28" s="81"/>
      <c r="J28" s="29">
        <f t="shared" si="6"/>
        <v>45464</v>
      </c>
      <c r="K28" s="30">
        <f t="shared" si="2"/>
        <v>45464</v>
      </c>
      <c r="L28" s="31">
        <v>8</v>
      </c>
      <c r="M28" s="32" t="s">
        <v>11</v>
      </c>
      <c r="N28" s="32">
        <v>30</v>
      </c>
      <c r="O28" s="32" t="s">
        <v>12</v>
      </c>
      <c r="P28" s="32">
        <v>19</v>
      </c>
      <c r="Q28" s="32" t="s">
        <v>11</v>
      </c>
      <c r="R28" s="40">
        <v>0</v>
      </c>
      <c r="S28" s="68">
        <v>1</v>
      </c>
      <c r="T28" s="43">
        <f t="shared" si="3"/>
        <v>9</v>
      </c>
      <c r="U28" s="44">
        <f t="shared" si="4"/>
        <v>30</v>
      </c>
      <c r="W28" s="1">
        <f>COUNTIF(祝日!$B$2:$B$18,J28)</f>
        <v>0</v>
      </c>
    </row>
    <row r="29" spans="2:23" ht="18" customHeight="1">
      <c r="B29" s="11">
        <f t="shared" si="5"/>
        <v>45465</v>
      </c>
      <c r="C29" s="12">
        <f t="shared" si="0"/>
        <v>45465</v>
      </c>
      <c r="D29" s="13">
        <f t="shared" si="1"/>
        <v>0</v>
      </c>
      <c r="E29" s="79"/>
      <c r="F29" s="80"/>
      <c r="G29" s="81"/>
      <c r="J29" s="29">
        <f t="shared" si="6"/>
        <v>45465</v>
      </c>
      <c r="K29" s="30">
        <f t="shared" si="2"/>
        <v>45465</v>
      </c>
      <c r="L29" s="31"/>
      <c r="M29" s="32" t="s">
        <v>11</v>
      </c>
      <c r="N29" s="32"/>
      <c r="O29" s="32" t="s">
        <v>12</v>
      </c>
      <c r="P29" s="32"/>
      <c r="Q29" s="32" t="s">
        <v>11</v>
      </c>
      <c r="R29" s="40"/>
      <c r="S29" s="68"/>
      <c r="T29" s="43">
        <f t="shared" si="3"/>
        <v>0</v>
      </c>
      <c r="U29" s="44">
        <f t="shared" si="4"/>
        <v>0</v>
      </c>
      <c r="W29" s="1">
        <f>COUNTIF(祝日!$B$2:$B$18,J29)</f>
        <v>0</v>
      </c>
    </row>
    <row r="30" spans="2:23" ht="18" customHeight="1">
      <c r="B30" s="11">
        <f t="shared" si="5"/>
        <v>45466</v>
      </c>
      <c r="C30" s="12">
        <f t="shared" si="0"/>
        <v>45466</v>
      </c>
      <c r="D30" s="13">
        <f t="shared" si="1"/>
        <v>0</v>
      </c>
      <c r="E30" s="79"/>
      <c r="F30" s="80"/>
      <c r="G30" s="81"/>
      <c r="J30" s="29">
        <f t="shared" si="6"/>
        <v>45466</v>
      </c>
      <c r="K30" s="30">
        <f t="shared" si="2"/>
        <v>45466</v>
      </c>
      <c r="L30" s="31"/>
      <c r="M30" s="32" t="s">
        <v>11</v>
      </c>
      <c r="N30" s="32"/>
      <c r="O30" s="32" t="s">
        <v>12</v>
      </c>
      <c r="P30" s="32"/>
      <c r="Q30" s="32" t="s">
        <v>11</v>
      </c>
      <c r="R30" s="40"/>
      <c r="S30" s="68"/>
      <c r="T30" s="43">
        <f t="shared" si="3"/>
        <v>0</v>
      </c>
      <c r="U30" s="44">
        <f t="shared" si="4"/>
        <v>0</v>
      </c>
      <c r="W30" s="1">
        <f>COUNTIF(祝日!$B$2:$B$18,J30)</f>
        <v>0</v>
      </c>
    </row>
    <row r="31" spans="2:23" ht="18" customHeight="1">
      <c r="B31" s="11">
        <f t="shared" si="5"/>
        <v>45467</v>
      </c>
      <c r="C31" s="12">
        <f t="shared" si="0"/>
        <v>45467</v>
      </c>
      <c r="D31" s="13">
        <f t="shared" si="1"/>
        <v>570</v>
      </c>
      <c r="E31" s="79" t="s">
        <v>14</v>
      </c>
      <c r="F31" s="80"/>
      <c r="G31" s="81"/>
      <c r="J31" s="29">
        <f t="shared" si="6"/>
        <v>45467</v>
      </c>
      <c r="K31" s="30">
        <f t="shared" si="2"/>
        <v>45467</v>
      </c>
      <c r="L31" s="31">
        <v>8</v>
      </c>
      <c r="M31" s="32" t="s">
        <v>11</v>
      </c>
      <c r="N31" s="32">
        <v>30</v>
      </c>
      <c r="O31" s="32" t="s">
        <v>12</v>
      </c>
      <c r="P31" s="32">
        <v>19</v>
      </c>
      <c r="Q31" s="32" t="s">
        <v>11</v>
      </c>
      <c r="R31" s="40">
        <v>0</v>
      </c>
      <c r="S31" s="68">
        <v>1</v>
      </c>
      <c r="T31" s="43">
        <f t="shared" si="3"/>
        <v>9</v>
      </c>
      <c r="U31" s="44">
        <f t="shared" si="4"/>
        <v>30</v>
      </c>
      <c r="W31" s="1">
        <f>COUNTIF(祝日!$B$2:$B$18,J31)</f>
        <v>0</v>
      </c>
    </row>
    <row r="32" spans="2:23" ht="18" customHeight="1">
      <c r="B32" s="11">
        <f t="shared" si="5"/>
        <v>45468</v>
      </c>
      <c r="C32" s="12">
        <f t="shared" si="0"/>
        <v>45468</v>
      </c>
      <c r="D32" s="13">
        <f t="shared" si="1"/>
        <v>510</v>
      </c>
      <c r="E32" s="79" t="s">
        <v>14</v>
      </c>
      <c r="F32" s="80"/>
      <c r="G32" s="81"/>
      <c r="J32" s="29">
        <f t="shared" si="6"/>
        <v>45468</v>
      </c>
      <c r="K32" s="30">
        <f t="shared" si="2"/>
        <v>45468</v>
      </c>
      <c r="L32" s="31">
        <v>8</v>
      </c>
      <c r="M32" s="32" t="s">
        <v>11</v>
      </c>
      <c r="N32" s="32">
        <v>30</v>
      </c>
      <c r="O32" s="32" t="s">
        <v>12</v>
      </c>
      <c r="P32" s="32">
        <v>18</v>
      </c>
      <c r="Q32" s="32" t="s">
        <v>11</v>
      </c>
      <c r="R32" s="40">
        <v>0</v>
      </c>
      <c r="S32" s="68">
        <v>1</v>
      </c>
      <c r="T32" s="43">
        <f t="shared" si="3"/>
        <v>8</v>
      </c>
      <c r="U32" s="44">
        <f t="shared" si="4"/>
        <v>30</v>
      </c>
      <c r="W32" s="1">
        <f>COUNTIF(祝日!$B$2:$B$18,J32)</f>
        <v>0</v>
      </c>
    </row>
    <row r="33" spans="2:23" ht="18" customHeight="1">
      <c r="B33" s="11">
        <f t="shared" si="5"/>
        <v>45469</v>
      </c>
      <c r="C33" s="12">
        <f t="shared" si="0"/>
        <v>45469</v>
      </c>
      <c r="D33" s="13">
        <f t="shared" si="1"/>
        <v>780</v>
      </c>
      <c r="E33" s="79" t="s">
        <v>14</v>
      </c>
      <c r="F33" s="80"/>
      <c r="G33" s="81"/>
      <c r="J33" s="29">
        <f t="shared" si="6"/>
        <v>45469</v>
      </c>
      <c r="K33" s="30">
        <f t="shared" si="2"/>
        <v>45469</v>
      </c>
      <c r="L33" s="31">
        <v>8</v>
      </c>
      <c r="M33" s="32" t="s">
        <v>11</v>
      </c>
      <c r="N33" s="32">
        <v>30</v>
      </c>
      <c r="O33" s="32" t="s">
        <v>12</v>
      </c>
      <c r="P33" s="32">
        <v>22</v>
      </c>
      <c r="Q33" s="32" t="s">
        <v>11</v>
      </c>
      <c r="R33" s="40">
        <v>30</v>
      </c>
      <c r="S33" s="68">
        <v>1</v>
      </c>
      <c r="T33" s="43">
        <f t="shared" si="3"/>
        <v>13</v>
      </c>
      <c r="U33" s="44">
        <f t="shared" si="4"/>
        <v>0</v>
      </c>
      <c r="W33" s="1">
        <f>COUNTIF(祝日!$B$2:$B$18,J33)</f>
        <v>0</v>
      </c>
    </row>
    <row r="34" spans="2:23" ht="18" customHeight="1">
      <c r="B34" s="11">
        <f t="shared" si="5"/>
        <v>45470</v>
      </c>
      <c r="C34" s="12">
        <f t="shared" si="0"/>
        <v>45470</v>
      </c>
      <c r="D34" s="13">
        <f t="shared" si="1"/>
        <v>570</v>
      </c>
      <c r="E34" s="79" t="s">
        <v>14</v>
      </c>
      <c r="F34" s="80"/>
      <c r="G34" s="81"/>
      <c r="J34" s="29">
        <f t="shared" si="6"/>
        <v>45470</v>
      </c>
      <c r="K34" s="30">
        <f t="shared" si="2"/>
        <v>45470</v>
      </c>
      <c r="L34" s="31">
        <v>8</v>
      </c>
      <c r="M34" s="32" t="s">
        <v>11</v>
      </c>
      <c r="N34" s="32">
        <v>30</v>
      </c>
      <c r="O34" s="32" t="s">
        <v>12</v>
      </c>
      <c r="P34" s="32">
        <v>19</v>
      </c>
      <c r="Q34" s="32" t="s">
        <v>11</v>
      </c>
      <c r="R34" s="40">
        <v>0</v>
      </c>
      <c r="S34" s="68">
        <v>1</v>
      </c>
      <c r="T34" s="43">
        <f t="shared" si="3"/>
        <v>9</v>
      </c>
      <c r="U34" s="44">
        <f t="shared" si="4"/>
        <v>30</v>
      </c>
      <c r="W34" s="1">
        <f>COUNTIF(祝日!$B$2:$B$18,J34)</f>
        <v>0</v>
      </c>
    </row>
    <row r="35" spans="2:23" ht="18" customHeight="1">
      <c r="B35" s="11">
        <f t="shared" si="5"/>
        <v>45471</v>
      </c>
      <c r="C35" s="12">
        <f t="shared" si="0"/>
        <v>45471</v>
      </c>
      <c r="D35" s="13">
        <f t="shared" si="1"/>
        <v>390</v>
      </c>
      <c r="E35" s="79" t="s">
        <v>14</v>
      </c>
      <c r="F35" s="80"/>
      <c r="G35" s="81"/>
      <c r="J35" s="29">
        <f t="shared" si="6"/>
        <v>45471</v>
      </c>
      <c r="K35" s="30">
        <f t="shared" si="2"/>
        <v>45471</v>
      </c>
      <c r="L35" s="31">
        <v>8</v>
      </c>
      <c r="M35" s="32" t="s">
        <v>11</v>
      </c>
      <c r="N35" s="32">
        <v>30</v>
      </c>
      <c r="O35" s="32" t="s">
        <v>12</v>
      </c>
      <c r="P35" s="32">
        <v>16</v>
      </c>
      <c r="Q35" s="32" t="s">
        <v>11</v>
      </c>
      <c r="R35" s="40">
        <v>0</v>
      </c>
      <c r="S35" s="68">
        <v>1</v>
      </c>
      <c r="T35" s="43">
        <f t="shared" si="3"/>
        <v>6</v>
      </c>
      <c r="U35" s="44">
        <f t="shared" si="4"/>
        <v>30</v>
      </c>
      <c r="W35" s="1">
        <f>COUNTIF(祝日!$B$2:$B$18,J35)</f>
        <v>0</v>
      </c>
    </row>
    <row r="36" spans="2:23" ht="18" customHeight="1">
      <c r="B36" s="11">
        <f>IF(MONTH(B$35+1)=MONTH(B$35),B$35+1,"")</f>
        <v>45472</v>
      </c>
      <c r="C36" s="12">
        <f t="shared" si="0"/>
        <v>45472</v>
      </c>
      <c r="D36" s="13">
        <f t="shared" si="1"/>
        <v>0</v>
      </c>
      <c r="E36" s="79"/>
      <c r="F36" s="80"/>
      <c r="G36" s="81"/>
      <c r="J36" s="29">
        <f>IF(MONTH(J$35+1)=MONTH(J$35),J$35+1,"")</f>
        <v>45472</v>
      </c>
      <c r="K36" s="30">
        <f t="shared" si="2"/>
        <v>45472</v>
      </c>
      <c r="L36" s="31"/>
      <c r="M36" s="32" t="s">
        <v>11</v>
      </c>
      <c r="N36" s="32"/>
      <c r="O36" s="32" t="s">
        <v>12</v>
      </c>
      <c r="P36" s="32"/>
      <c r="Q36" s="32" t="s">
        <v>11</v>
      </c>
      <c r="R36" s="40"/>
      <c r="S36" s="68"/>
      <c r="T36" s="41">
        <f t="shared" si="3"/>
        <v>0</v>
      </c>
      <c r="U36" s="42">
        <f t="shared" si="4"/>
        <v>0</v>
      </c>
      <c r="W36" s="1">
        <f>COUNTIF(祝日!$B$2:$B$18,J36)</f>
        <v>0</v>
      </c>
    </row>
    <row r="37" spans="2:23" ht="18" customHeight="1">
      <c r="B37" s="11">
        <f>IF(MONTH(B$35+2)=MONTH(B$35),B$35+2,"")</f>
        <v>45473</v>
      </c>
      <c r="C37" s="12">
        <f t="shared" si="0"/>
        <v>45473</v>
      </c>
      <c r="D37" s="13">
        <f t="shared" si="1"/>
        <v>0</v>
      </c>
      <c r="E37" s="79"/>
      <c r="F37" s="80"/>
      <c r="G37" s="81"/>
      <c r="J37" s="29">
        <f>IF(MONTH(J$35+2)=MONTH(J$35),J$35+2,"")</f>
        <v>45473</v>
      </c>
      <c r="K37" s="30">
        <f t="shared" si="2"/>
        <v>45473</v>
      </c>
      <c r="L37" s="31"/>
      <c r="M37" s="32" t="s">
        <v>11</v>
      </c>
      <c r="N37" s="32"/>
      <c r="O37" s="32" t="s">
        <v>12</v>
      </c>
      <c r="P37" s="32"/>
      <c r="Q37" s="32" t="s">
        <v>11</v>
      </c>
      <c r="R37" s="40"/>
      <c r="S37" s="68"/>
      <c r="T37" s="41">
        <f t="shared" si="3"/>
        <v>0</v>
      </c>
      <c r="U37" s="42">
        <f t="shared" si="4"/>
        <v>0</v>
      </c>
      <c r="W37" s="1">
        <f>COUNTIF(祝日!$B$2:$B$18,J37)</f>
        <v>0</v>
      </c>
    </row>
    <row r="38" spans="2:23" ht="18" customHeight="1" thickBot="1">
      <c r="B38" s="15" t="str">
        <f>IF(MONTH(B$35+3)=MONTH(B$35),B$35+3,"")</f>
        <v/>
      </c>
      <c r="C38" s="16" t="str">
        <f t="shared" si="0"/>
        <v/>
      </c>
      <c r="D38" s="17">
        <f t="shared" si="1"/>
        <v>0</v>
      </c>
      <c r="E38" s="79"/>
      <c r="F38" s="80"/>
      <c r="G38" s="81"/>
      <c r="J38" s="33" t="str">
        <f>IF(MONTH(J$35+3)=MONTH(J$35),J$35+3,"")</f>
        <v/>
      </c>
      <c r="K38" s="34" t="str">
        <f t="shared" si="2"/>
        <v/>
      </c>
      <c r="L38" s="31"/>
      <c r="M38" s="32" t="s">
        <v>11</v>
      </c>
      <c r="N38" s="32"/>
      <c r="O38" s="32" t="s">
        <v>12</v>
      </c>
      <c r="P38" s="32"/>
      <c r="Q38" s="32" t="s">
        <v>11</v>
      </c>
      <c r="R38" s="40"/>
      <c r="S38" s="68"/>
      <c r="T38" s="45">
        <f t="shared" si="3"/>
        <v>0</v>
      </c>
      <c r="U38" s="46">
        <f t="shared" si="4"/>
        <v>0</v>
      </c>
      <c r="W38" s="1">
        <f>COUNTIF(祝日!$B$2:$B$18,J38)</f>
        <v>0</v>
      </c>
    </row>
    <row r="39" spans="2:23" ht="18" customHeight="1" thickBot="1">
      <c r="B39" s="18"/>
      <c r="C39" s="19"/>
      <c r="D39" s="20"/>
      <c r="E39" s="21"/>
      <c r="F39" s="21"/>
      <c r="G39" s="21"/>
      <c r="J39" s="18"/>
      <c r="K39" s="19"/>
      <c r="L39" s="35"/>
      <c r="M39" s="36"/>
      <c r="N39" s="35"/>
      <c r="O39" s="37"/>
      <c r="P39" s="35"/>
      <c r="Q39" s="36"/>
      <c r="R39" s="35"/>
      <c r="S39" s="47"/>
      <c r="T39" s="48"/>
      <c r="U39" s="49"/>
    </row>
    <row r="40" spans="2:23" ht="18" customHeight="1" thickBot="1">
      <c r="B40" s="22"/>
      <c r="C40" s="22"/>
      <c r="E40" s="76">
        <f>SUM(D8:D38)</f>
        <v>11880</v>
      </c>
      <c r="F40" s="77"/>
    </row>
    <row r="41" spans="2:23" ht="18" customHeight="1" thickBot="1">
      <c r="D41" s="23"/>
      <c r="E41" s="24">
        <f>ROUNDDOWN(E40/60,0)</f>
        <v>198</v>
      </c>
      <c r="F41" s="25">
        <f>E40-E41*60</f>
        <v>0</v>
      </c>
      <c r="L41" s="38"/>
      <c r="M41" s="38"/>
      <c r="N41" s="38"/>
      <c r="O41" s="38"/>
      <c r="P41" s="38"/>
      <c r="Q41" s="38"/>
      <c r="R41" s="38"/>
      <c r="S41" s="26"/>
      <c r="T41" s="50"/>
      <c r="U41" s="51"/>
    </row>
    <row r="42" spans="2:23" ht="18" customHeight="1" thickBot="1">
      <c r="D42" s="26"/>
      <c r="E42" s="76">
        <f>COUNTIF(D8:D38,"&gt;0")</f>
        <v>21</v>
      </c>
      <c r="F42" s="77"/>
      <c r="M42" s="39"/>
      <c r="N42" s="39"/>
      <c r="O42" s="39"/>
      <c r="P42" s="39"/>
      <c r="Q42" s="39"/>
      <c r="R42" s="39"/>
      <c r="S42" s="52"/>
      <c r="T42" s="53"/>
      <c r="U42" s="54"/>
    </row>
  </sheetData>
  <mergeCells count="39">
    <mergeCell ref="E38:G38"/>
    <mergeCell ref="E40:F40"/>
    <mergeCell ref="E42:F42"/>
    <mergeCell ref="E32:G32"/>
    <mergeCell ref="E33:G33"/>
    <mergeCell ref="E34:G34"/>
    <mergeCell ref="E35:G35"/>
    <mergeCell ref="E36:G36"/>
    <mergeCell ref="E37:G37"/>
    <mergeCell ref="E31:G31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E29:G29"/>
    <mergeCell ref="E30:G30"/>
    <mergeCell ref="E19:G19"/>
    <mergeCell ref="E8:G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T7:U7"/>
    <mergeCell ref="N3:O3"/>
    <mergeCell ref="D4:E4"/>
    <mergeCell ref="D5:E5"/>
    <mergeCell ref="E7:G7"/>
    <mergeCell ref="L7:R7"/>
  </mergeCells>
  <phoneticPr fontId="12"/>
  <conditionalFormatting sqref="B8:D38">
    <cfRule type="expression" dxfId="46" priority="30" stopIfTrue="1">
      <formula>OR(WEEKDAY($B8,2)&gt;5,$W8&gt;0)</formula>
    </cfRule>
  </conditionalFormatting>
  <conditionalFormatting sqref="E10:G13">
    <cfRule type="expression" dxfId="45" priority="29" stopIfTrue="1">
      <formula>OR(WEEKDAY($B10,2)&gt;5,$W10&gt;0)</formula>
    </cfRule>
  </conditionalFormatting>
  <conditionalFormatting sqref="E22:G23 E36:G38 E29:G30">
    <cfRule type="expression" dxfId="44" priority="28" stopIfTrue="1">
      <formula>OR(WEEKDAY($B22,2)&gt;5,$W22&gt;0)</formula>
    </cfRule>
  </conditionalFormatting>
  <conditionalFormatting sqref="E14:G14">
    <cfRule type="expression" dxfId="43" priority="20" stopIfTrue="1">
      <formula>OR(WEEKDAY($B14,2)&gt;5,$W14&gt;0)</formula>
    </cfRule>
  </conditionalFormatting>
  <conditionalFormatting sqref="E15:G15">
    <cfRule type="expression" dxfId="42" priority="19" stopIfTrue="1">
      <formula>OR(WEEKDAY($B15,2)&gt;5,$W15&gt;0)</formula>
    </cfRule>
  </conditionalFormatting>
  <conditionalFormatting sqref="E16:G16">
    <cfRule type="expression" dxfId="41" priority="18" stopIfTrue="1">
      <formula>OR(WEEKDAY($B16,2)&gt;5,$W16&gt;0)</formula>
    </cfRule>
  </conditionalFormatting>
  <conditionalFormatting sqref="E17:G17">
    <cfRule type="expression" dxfId="40" priority="17" stopIfTrue="1">
      <formula>OR(WEEKDAY($B17,2)&gt;5,$W17&gt;0)</formula>
    </cfRule>
  </conditionalFormatting>
  <conditionalFormatting sqref="E8:G8">
    <cfRule type="expression" dxfId="39" priority="16" stopIfTrue="1">
      <formula>OR(WEEKDAY($B8,2)&gt;5,$W8&gt;0)</formula>
    </cfRule>
  </conditionalFormatting>
  <conditionalFormatting sqref="E9:G9">
    <cfRule type="expression" dxfId="38" priority="15" stopIfTrue="1">
      <formula>OR(WEEKDAY($B9,2)&gt;5,$W9&gt;0)</formula>
    </cfRule>
  </conditionalFormatting>
  <conditionalFormatting sqref="E18:G18">
    <cfRule type="expression" dxfId="37" priority="14" stopIfTrue="1">
      <formula>OR(WEEKDAY($B18,2)&gt;5,$W18&gt;0)</formula>
    </cfRule>
  </conditionalFormatting>
  <conditionalFormatting sqref="E19:G19">
    <cfRule type="expression" dxfId="36" priority="13" stopIfTrue="1">
      <formula>OR(WEEKDAY($B19,2)&gt;5,$W19&gt;0)</formula>
    </cfRule>
  </conditionalFormatting>
  <conditionalFormatting sqref="E20:G20">
    <cfRule type="expression" dxfId="35" priority="12" stopIfTrue="1">
      <formula>OR(WEEKDAY($B20,2)&gt;5,$W20&gt;0)</formula>
    </cfRule>
  </conditionalFormatting>
  <conditionalFormatting sqref="E21:G21">
    <cfRule type="expression" dxfId="34" priority="11" stopIfTrue="1">
      <formula>OR(WEEKDAY($B21,2)&gt;5,$W21&gt;0)</formula>
    </cfRule>
  </conditionalFormatting>
  <conditionalFormatting sqref="E24:G24">
    <cfRule type="expression" dxfId="33" priority="10" stopIfTrue="1">
      <formula>OR(WEEKDAY($B24,2)&gt;5,$W24&gt;0)</formula>
    </cfRule>
  </conditionalFormatting>
  <conditionalFormatting sqref="E25:G25">
    <cfRule type="expression" dxfId="32" priority="9" stopIfTrue="1">
      <formula>OR(WEEKDAY($B25,2)&gt;5,$W25&gt;0)</formula>
    </cfRule>
  </conditionalFormatting>
  <conditionalFormatting sqref="E26:G26">
    <cfRule type="expression" dxfId="31" priority="8" stopIfTrue="1">
      <formula>OR(WEEKDAY($B26,2)&gt;5,$W26&gt;0)</formula>
    </cfRule>
  </conditionalFormatting>
  <conditionalFormatting sqref="E27:G27">
    <cfRule type="expression" dxfId="30" priority="7" stopIfTrue="1">
      <formula>OR(WEEKDAY($B27,2)&gt;5,$W27&gt;0)</formula>
    </cfRule>
  </conditionalFormatting>
  <conditionalFormatting sqref="E28:G28">
    <cfRule type="expression" dxfId="29" priority="6" stopIfTrue="1">
      <formula>OR(WEEKDAY($B28,2)&gt;5,$W28&gt;0)</formula>
    </cfRule>
  </conditionalFormatting>
  <conditionalFormatting sqref="E31:G31">
    <cfRule type="expression" dxfId="28" priority="5" stopIfTrue="1">
      <formula>OR(WEEKDAY($B31,2)&gt;5,$W31&gt;0)</formula>
    </cfRule>
  </conditionalFormatting>
  <conditionalFormatting sqref="E32:G32">
    <cfRule type="expression" dxfId="27" priority="4" stopIfTrue="1">
      <formula>OR(WEEKDAY($B32,2)&gt;5,$W32&gt;0)</formula>
    </cfRule>
  </conditionalFormatting>
  <conditionalFormatting sqref="E33:G33">
    <cfRule type="expression" dxfId="26" priority="3" stopIfTrue="1">
      <formula>OR(WEEKDAY($B33,2)&gt;5,$W33&gt;0)</formula>
    </cfRule>
  </conditionalFormatting>
  <conditionalFormatting sqref="E34:G34">
    <cfRule type="expression" dxfId="25" priority="2" stopIfTrue="1">
      <formula>OR(WEEKDAY($B34,2)&gt;5,$W34&gt;0)</formula>
    </cfRule>
  </conditionalFormatting>
  <conditionalFormatting sqref="E35:G35">
    <cfRule type="expression" dxfId="24" priority="1" stopIfTrue="1">
      <formula>OR(WEEKDAY($B35,2)&gt;5,$W35&gt;0)</formula>
    </cfRule>
  </conditionalFormatting>
  <pageMargins left="0.39370078740157499" right="0.39370078740157499" top="0.511811023622047" bottom="0.43307086614173201" header="0.35433070866141703" footer="0.23622047244094499"/>
  <pageSetup paperSize="9" scale="9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NextMonth">
                <anchor moveWithCells="1" sizeWithCells="1">
                  <from>
                    <xdr:col>9</xdr:col>
                    <xdr:colOff>304800</xdr:colOff>
                    <xdr:row>1</xdr:row>
                    <xdr:rowOff>333375</xdr:rowOff>
                  </from>
                  <to>
                    <xdr:col>12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LastMonth">
                <anchor moveWithCells="1" sizeWithCells="1">
                  <from>
                    <xdr:col>13</xdr:col>
                    <xdr:colOff>419100</xdr:colOff>
                    <xdr:row>1</xdr:row>
                    <xdr:rowOff>342900</xdr:rowOff>
                  </from>
                  <to>
                    <xdr:col>17</xdr:col>
                    <xdr:colOff>285750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en_Myform">
                <anchor moveWithCells="1" sizeWithCells="1">
                  <from>
                    <xdr:col>9</xdr:col>
                    <xdr:colOff>314325</xdr:colOff>
                    <xdr:row>3</xdr:row>
                    <xdr:rowOff>238125</xdr:rowOff>
                  </from>
                  <to>
                    <xdr:col>12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76806-F82B-4D98-AC4D-93FEF48484E0}">
  <sheetPr codeName="Sheet4"/>
  <dimension ref="B1:W42"/>
  <sheetViews>
    <sheetView showGridLines="0" tabSelected="1" view="pageBreakPreview" zoomScaleNormal="75" zoomScaleSheetLayoutView="100" workbookViewId="0">
      <selection activeCell="E21" sqref="E21:G21"/>
    </sheetView>
  </sheetViews>
  <sheetFormatPr defaultColWidth="9" defaultRowHeight="15.75"/>
  <cols>
    <col min="1" max="1" width="2.625" style="1" customWidth="1"/>
    <col min="2" max="2" width="8.5" style="2" customWidth="1"/>
    <col min="3" max="3" width="8" style="2" customWidth="1"/>
    <col min="4" max="4" width="14.125" style="2" customWidth="1"/>
    <col min="5" max="5" width="11" style="1" customWidth="1"/>
    <col min="6" max="6" width="5.125" style="1" customWidth="1"/>
    <col min="7" max="7" width="39.5" style="1" customWidth="1"/>
    <col min="8" max="9" width="2.75" style="1" customWidth="1"/>
    <col min="10" max="10" width="5.125" style="2" customWidth="1"/>
    <col min="11" max="11" width="6.5" style="2" customWidth="1"/>
    <col min="12" max="12" width="5.625" style="1" customWidth="1"/>
    <col min="13" max="13" width="0.875" style="1" customWidth="1"/>
    <col min="14" max="14" width="5.625" style="1" customWidth="1"/>
    <col min="15" max="15" width="2.125" style="1" customWidth="1"/>
    <col min="16" max="16" width="5.625" style="1" customWidth="1"/>
    <col min="17" max="17" width="0.875" style="1" customWidth="1"/>
    <col min="18" max="18" width="5.625" style="1" customWidth="1"/>
    <col min="19" max="19" width="6" style="2" customWidth="1"/>
    <col min="20" max="21" width="7.5" style="2" customWidth="1"/>
    <col min="22" max="24" width="9" style="1"/>
    <col min="25" max="25" width="20.375" style="1" customWidth="1"/>
    <col min="26" max="16384" width="9" style="1"/>
  </cols>
  <sheetData>
    <row r="1" spans="2:23" ht="26.45" customHeight="1">
      <c r="B1" s="3" t="s">
        <v>0</v>
      </c>
      <c r="C1" s="4"/>
      <c r="D1" s="4"/>
      <c r="E1" s="3"/>
      <c r="F1" s="3"/>
      <c r="G1" s="3"/>
      <c r="J1" s="3"/>
      <c r="K1" s="4"/>
      <c r="L1" s="3"/>
      <c r="M1" s="3"/>
      <c r="N1" s="3"/>
      <c r="O1" s="3"/>
      <c r="P1" s="3"/>
      <c r="Q1" s="3"/>
      <c r="R1" s="3"/>
      <c r="S1" s="4"/>
      <c r="T1" s="4"/>
      <c r="U1" s="4"/>
    </row>
    <row r="2" spans="2:23" ht="27.75" customHeight="1">
      <c r="C2" s="5"/>
      <c r="D2" s="4"/>
      <c r="E2" s="3"/>
      <c r="F2" s="3"/>
      <c r="G2" s="3"/>
      <c r="K2" s="5"/>
      <c r="L2" s="3"/>
      <c r="M2" s="3"/>
      <c r="N2" s="3"/>
      <c r="O2" s="3"/>
      <c r="P2" s="3"/>
      <c r="Q2" s="3"/>
      <c r="R2" s="3"/>
      <c r="S2" s="4"/>
      <c r="T2" s="4"/>
      <c r="U2" s="4"/>
    </row>
    <row r="3" spans="2:23" ht="21.2" customHeight="1">
      <c r="B3" s="6"/>
      <c r="D3" s="56">
        <v>46054</v>
      </c>
      <c r="E3" s="61"/>
      <c r="F3" s="3"/>
      <c r="G3" s="3"/>
      <c r="J3" s="7"/>
      <c r="K3" s="6"/>
      <c r="L3" s="3"/>
      <c r="M3" s="3"/>
      <c r="N3" s="78"/>
      <c r="O3" s="78"/>
      <c r="P3" s="3"/>
      <c r="Q3" s="3"/>
      <c r="R3" s="3"/>
      <c r="S3" s="4"/>
      <c r="T3" s="4"/>
      <c r="U3" s="4"/>
    </row>
    <row r="4" spans="2:23" ht="21.2" customHeight="1">
      <c r="B4" s="6"/>
      <c r="D4" s="71"/>
      <c r="E4" s="71"/>
      <c r="F4" s="3"/>
      <c r="G4" s="3"/>
      <c r="J4" s="7"/>
      <c r="K4" s="6"/>
      <c r="L4" s="3"/>
      <c r="M4" s="3"/>
      <c r="N4" s="3"/>
      <c r="O4" s="3"/>
      <c r="P4" s="3"/>
      <c r="Q4" s="3"/>
      <c r="R4" s="3"/>
      <c r="S4" s="4"/>
      <c r="T4" s="4"/>
      <c r="U4" s="4"/>
    </row>
    <row r="5" spans="2:23" ht="21.2" customHeight="1">
      <c r="B5" s="6"/>
      <c r="D5" s="71"/>
      <c r="E5" s="71"/>
      <c r="F5" s="3"/>
      <c r="G5" s="3"/>
      <c r="J5" s="7"/>
      <c r="K5" s="6"/>
      <c r="L5" s="3"/>
      <c r="M5" s="3"/>
      <c r="N5" s="3"/>
      <c r="O5" s="3"/>
      <c r="P5" s="3"/>
      <c r="Q5" s="3"/>
      <c r="R5" s="3"/>
      <c r="S5" s="4"/>
      <c r="T5" s="4"/>
      <c r="U5" s="4"/>
    </row>
    <row r="6" spans="2:23" ht="21">
      <c r="B6" s="67" t="s">
        <v>17</v>
      </c>
      <c r="C6" s="4"/>
      <c r="D6" s="4"/>
      <c r="E6" s="8"/>
      <c r="F6" s="8"/>
      <c r="G6" s="8"/>
      <c r="J6" s="7"/>
      <c r="K6" s="4"/>
      <c r="L6" s="3"/>
      <c r="M6" s="3"/>
      <c r="N6" s="3"/>
      <c r="O6" s="3"/>
      <c r="P6" s="3"/>
      <c r="Q6" s="3"/>
      <c r="R6" s="3"/>
      <c r="S6" s="55" t="s">
        <v>2</v>
      </c>
      <c r="T6" s="4"/>
      <c r="U6" s="4"/>
    </row>
    <row r="7" spans="2:23" ht="23.25" customHeight="1">
      <c r="B7" s="9" t="s">
        <v>3</v>
      </c>
      <c r="C7" s="10" t="s">
        <v>4</v>
      </c>
      <c r="D7" s="10" t="s">
        <v>5</v>
      </c>
      <c r="E7" s="72" t="s">
        <v>6</v>
      </c>
      <c r="F7" s="73"/>
      <c r="G7" s="74"/>
      <c r="J7" s="27" t="s">
        <v>3</v>
      </c>
      <c r="K7" s="28" t="s">
        <v>4</v>
      </c>
      <c r="L7" s="75" t="s">
        <v>7</v>
      </c>
      <c r="M7" s="69"/>
      <c r="N7" s="69"/>
      <c r="O7" s="69"/>
      <c r="P7" s="69"/>
      <c r="Q7" s="69"/>
      <c r="R7" s="69"/>
      <c r="S7" s="28" t="s">
        <v>8</v>
      </c>
      <c r="T7" s="69" t="s">
        <v>9</v>
      </c>
      <c r="U7" s="70"/>
      <c r="W7" s="1" t="s">
        <v>10</v>
      </c>
    </row>
    <row r="8" spans="2:23" ht="18" customHeight="1">
      <c r="B8" s="11">
        <f>D3</f>
        <v>46054</v>
      </c>
      <c r="C8" s="12">
        <f t="shared" ref="C8:C38" si="0">B8</f>
        <v>46054</v>
      </c>
      <c r="D8" s="13">
        <f t="shared" ref="D8:D38" si="1">((P8+R8/60)-(L8+N8/60)-S8)*60</f>
        <v>0</v>
      </c>
      <c r="E8" s="79"/>
      <c r="F8" s="80"/>
      <c r="G8" s="81"/>
      <c r="J8" s="29">
        <f>B8</f>
        <v>46054</v>
      </c>
      <c r="K8" s="30">
        <f t="shared" ref="K8:K38" si="2">J8</f>
        <v>46054</v>
      </c>
      <c r="L8" s="31"/>
      <c r="M8" s="32" t="s">
        <v>11</v>
      </c>
      <c r="N8" s="32"/>
      <c r="O8" s="32" t="s">
        <v>12</v>
      </c>
      <c r="P8" s="32"/>
      <c r="Q8" s="32" t="s">
        <v>11</v>
      </c>
      <c r="R8" s="40"/>
      <c r="S8" s="68">
        <v>0</v>
      </c>
      <c r="T8" s="41">
        <f t="shared" ref="T8:T38" si="3">ROUNDDOWN(D8/60,0)</f>
        <v>0</v>
      </c>
      <c r="U8" s="42">
        <f t="shared" ref="U8:U38" si="4">D8-(T8*60)</f>
        <v>0</v>
      </c>
      <c r="W8" s="1">
        <f>COUNTIF(祝日!$B$2:$B$18,J8)</f>
        <v>0</v>
      </c>
    </row>
    <row r="9" spans="2:23" ht="18" customHeight="1">
      <c r="B9" s="11">
        <f t="shared" ref="B9:B35" si="5">B8+1</f>
        <v>46055</v>
      </c>
      <c r="C9" s="12">
        <f t="shared" si="0"/>
        <v>46055</v>
      </c>
      <c r="D9" s="14">
        <f t="shared" si="1"/>
        <v>480</v>
      </c>
      <c r="E9" s="79" t="s">
        <v>18</v>
      </c>
      <c r="F9" s="80"/>
      <c r="G9" s="81"/>
      <c r="J9" s="29">
        <f t="shared" ref="J9:J35" si="6">J8+1</f>
        <v>46055</v>
      </c>
      <c r="K9" s="30">
        <f t="shared" si="2"/>
        <v>46055</v>
      </c>
      <c r="L9" s="31">
        <v>9</v>
      </c>
      <c r="M9" s="32" t="s">
        <v>11</v>
      </c>
      <c r="N9" s="32">
        <v>0</v>
      </c>
      <c r="O9" s="32" t="s">
        <v>12</v>
      </c>
      <c r="P9" s="32">
        <v>18</v>
      </c>
      <c r="Q9" s="32" t="s">
        <v>11</v>
      </c>
      <c r="R9" s="40">
        <v>0</v>
      </c>
      <c r="S9" s="68">
        <v>1</v>
      </c>
      <c r="T9" s="43">
        <f t="shared" si="3"/>
        <v>8</v>
      </c>
      <c r="U9" s="44">
        <f t="shared" si="4"/>
        <v>0</v>
      </c>
      <c r="W9" s="1">
        <f>COUNTIF(祝日!$B$2:$B$18,J9)</f>
        <v>0</v>
      </c>
    </row>
    <row r="10" spans="2:23" ht="18" customHeight="1">
      <c r="B10" s="11">
        <f t="shared" si="5"/>
        <v>46056</v>
      </c>
      <c r="C10" s="12">
        <f t="shared" si="0"/>
        <v>46056</v>
      </c>
      <c r="D10" s="14">
        <f t="shared" si="1"/>
        <v>480</v>
      </c>
      <c r="E10" s="79" t="s">
        <v>18</v>
      </c>
      <c r="F10" s="80"/>
      <c r="G10" s="81"/>
      <c r="J10" s="29">
        <f t="shared" si="6"/>
        <v>46056</v>
      </c>
      <c r="K10" s="30">
        <f t="shared" si="2"/>
        <v>46056</v>
      </c>
      <c r="L10" s="31">
        <v>9</v>
      </c>
      <c r="M10" s="32" t="s">
        <v>11</v>
      </c>
      <c r="N10" s="32">
        <v>0</v>
      </c>
      <c r="O10" s="32" t="s">
        <v>12</v>
      </c>
      <c r="P10" s="32">
        <v>18</v>
      </c>
      <c r="Q10" s="32" t="s">
        <v>11</v>
      </c>
      <c r="R10" s="40">
        <v>0</v>
      </c>
      <c r="S10" s="68">
        <v>1</v>
      </c>
      <c r="T10" s="43">
        <f t="shared" si="3"/>
        <v>8</v>
      </c>
      <c r="U10" s="44">
        <f t="shared" si="4"/>
        <v>0</v>
      </c>
      <c r="W10" s="1">
        <f>COUNTIF(祝日!$B$2:$B$18,J10)</f>
        <v>0</v>
      </c>
    </row>
    <row r="11" spans="2:23" ht="18" customHeight="1">
      <c r="B11" s="11">
        <f t="shared" si="5"/>
        <v>46057</v>
      </c>
      <c r="C11" s="12">
        <f t="shared" si="0"/>
        <v>46057</v>
      </c>
      <c r="D11" s="14">
        <f t="shared" si="1"/>
        <v>480</v>
      </c>
      <c r="E11" s="79" t="s">
        <v>18</v>
      </c>
      <c r="F11" s="80"/>
      <c r="G11" s="81"/>
      <c r="J11" s="29">
        <f t="shared" si="6"/>
        <v>46057</v>
      </c>
      <c r="K11" s="30">
        <f t="shared" si="2"/>
        <v>46057</v>
      </c>
      <c r="L11" s="31">
        <v>9</v>
      </c>
      <c r="M11" s="32" t="s">
        <v>11</v>
      </c>
      <c r="N11" s="32">
        <v>0</v>
      </c>
      <c r="O11" s="32" t="s">
        <v>12</v>
      </c>
      <c r="P11" s="32">
        <v>18</v>
      </c>
      <c r="Q11" s="32" t="s">
        <v>11</v>
      </c>
      <c r="R11" s="40">
        <v>0</v>
      </c>
      <c r="S11" s="68">
        <v>1</v>
      </c>
      <c r="T11" s="43">
        <f t="shared" si="3"/>
        <v>8</v>
      </c>
      <c r="U11" s="44">
        <f t="shared" si="4"/>
        <v>0</v>
      </c>
      <c r="W11" s="1">
        <f>COUNTIF(祝日!$B$2:$B$18,J11)</f>
        <v>0</v>
      </c>
    </row>
    <row r="12" spans="2:23" ht="18" customHeight="1">
      <c r="B12" s="11">
        <f t="shared" si="5"/>
        <v>46058</v>
      </c>
      <c r="C12" s="12">
        <f t="shared" si="0"/>
        <v>46058</v>
      </c>
      <c r="D12" s="14">
        <f t="shared" si="1"/>
        <v>480</v>
      </c>
      <c r="E12" s="79" t="s">
        <v>18</v>
      </c>
      <c r="F12" s="80"/>
      <c r="G12" s="81"/>
      <c r="J12" s="29">
        <f t="shared" si="6"/>
        <v>46058</v>
      </c>
      <c r="K12" s="30">
        <f t="shared" si="2"/>
        <v>46058</v>
      </c>
      <c r="L12" s="31">
        <v>9</v>
      </c>
      <c r="M12" s="32" t="s">
        <v>11</v>
      </c>
      <c r="N12" s="32">
        <v>0</v>
      </c>
      <c r="O12" s="32" t="s">
        <v>12</v>
      </c>
      <c r="P12" s="32">
        <v>18</v>
      </c>
      <c r="Q12" s="32" t="s">
        <v>11</v>
      </c>
      <c r="R12" s="40">
        <v>0</v>
      </c>
      <c r="S12" s="68">
        <v>1</v>
      </c>
      <c r="T12" s="43">
        <f t="shared" si="3"/>
        <v>8</v>
      </c>
      <c r="U12" s="44">
        <f t="shared" si="4"/>
        <v>0</v>
      </c>
      <c r="W12" s="1">
        <f>COUNTIF(祝日!$B$2:$B$18,J12)</f>
        <v>0</v>
      </c>
    </row>
    <row r="13" spans="2:23" ht="18" customHeight="1">
      <c r="B13" s="11">
        <f t="shared" si="5"/>
        <v>46059</v>
      </c>
      <c r="C13" s="12">
        <f t="shared" si="0"/>
        <v>46059</v>
      </c>
      <c r="D13" s="14">
        <f t="shared" si="1"/>
        <v>480</v>
      </c>
      <c r="E13" s="79" t="s">
        <v>18</v>
      </c>
      <c r="F13" s="80"/>
      <c r="G13" s="81"/>
      <c r="J13" s="29">
        <f t="shared" si="6"/>
        <v>46059</v>
      </c>
      <c r="K13" s="30">
        <f t="shared" si="2"/>
        <v>46059</v>
      </c>
      <c r="L13" s="31">
        <v>9</v>
      </c>
      <c r="M13" s="32" t="s">
        <v>11</v>
      </c>
      <c r="N13" s="32">
        <v>0</v>
      </c>
      <c r="O13" s="32" t="s">
        <v>12</v>
      </c>
      <c r="P13" s="32">
        <v>18</v>
      </c>
      <c r="Q13" s="32" t="s">
        <v>11</v>
      </c>
      <c r="R13" s="40">
        <v>0</v>
      </c>
      <c r="S13" s="68">
        <v>1</v>
      </c>
      <c r="T13" s="43">
        <f t="shared" ref="T13:T14" si="7">ROUNDDOWN(D13/60,0)</f>
        <v>8</v>
      </c>
      <c r="U13" s="44">
        <f t="shared" ref="U13:U14" si="8">D13-(T13*60)</f>
        <v>0</v>
      </c>
      <c r="W13" s="1">
        <f>COUNTIF(祝日!$B$2:$B$18,J13)</f>
        <v>0</v>
      </c>
    </row>
    <row r="14" spans="2:23" ht="18" customHeight="1">
      <c r="B14" s="11">
        <f t="shared" si="5"/>
        <v>46060</v>
      </c>
      <c r="C14" s="12">
        <f t="shared" si="0"/>
        <v>46060</v>
      </c>
      <c r="D14" s="13">
        <f t="shared" si="1"/>
        <v>0</v>
      </c>
      <c r="E14" s="79"/>
      <c r="F14" s="80"/>
      <c r="G14" s="81"/>
      <c r="J14" s="29">
        <f t="shared" si="6"/>
        <v>46060</v>
      </c>
      <c r="K14" s="30">
        <f t="shared" si="2"/>
        <v>46060</v>
      </c>
      <c r="L14" s="31"/>
      <c r="M14" s="32" t="s">
        <v>11</v>
      </c>
      <c r="N14" s="32"/>
      <c r="O14" s="32" t="s">
        <v>12</v>
      </c>
      <c r="P14" s="32"/>
      <c r="Q14" s="32" t="s">
        <v>11</v>
      </c>
      <c r="R14" s="40"/>
      <c r="S14" s="68">
        <v>0</v>
      </c>
      <c r="T14" s="43">
        <f t="shared" si="7"/>
        <v>0</v>
      </c>
      <c r="U14" s="44">
        <f t="shared" si="8"/>
        <v>0</v>
      </c>
      <c r="W14" s="1">
        <f>COUNTIF(祝日!$B$2:$B$18,J14)</f>
        <v>0</v>
      </c>
    </row>
    <row r="15" spans="2:23" ht="18" customHeight="1">
      <c r="B15" s="11">
        <f t="shared" si="5"/>
        <v>46061</v>
      </c>
      <c r="C15" s="12">
        <f t="shared" si="0"/>
        <v>46061</v>
      </c>
      <c r="D15" s="13">
        <f t="shared" si="1"/>
        <v>0</v>
      </c>
      <c r="E15" s="79"/>
      <c r="F15" s="80"/>
      <c r="G15" s="81"/>
      <c r="J15" s="29">
        <f t="shared" si="6"/>
        <v>46061</v>
      </c>
      <c r="K15" s="30">
        <f t="shared" si="2"/>
        <v>46061</v>
      </c>
      <c r="L15" s="31"/>
      <c r="M15" s="32" t="s">
        <v>11</v>
      </c>
      <c r="N15" s="32"/>
      <c r="O15" s="32" t="s">
        <v>12</v>
      </c>
      <c r="P15" s="32"/>
      <c r="Q15" s="32" t="s">
        <v>11</v>
      </c>
      <c r="R15" s="40"/>
      <c r="S15" s="68">
        <v>0</v>
      </c>
      <c r="T15" s="43">
        <f t="shared" si="3"/>
        <v>0</v>
      </c>
      <c r="U15" s="44">
        <f t="shared" si="4"/>
        <v>0</v>
      </c>
      <c r="W15" s="1">
        <f>COUNTIF(祝日!$B$2:$B$18,J15)</f>
        <v>0</v>
      </c>
    </row>
    <row r="16" spans="2:23" ht="18" customHeight="1">
      <c r="B16" s="11">
        <f t="shared" si="5"/>
        <v>46062</v>
      </c>
      <c r="C16" s="12">
        <f t="shared" si="0"/>
        <v>46062</v>
      </c>
      <c r="D16" s="13">
        <f t="shared" si="1"/>
        <v>480</v>
      </c>
      <c r="E16" s="79" t="s">
        <v>18</v>
      </c>
      <c r="F16" s="80"/>
      <c r="G16" s="81"/>
      <c r="J16" s="29">
        <f t="shared" si="6"/>
        <v>46062</v>
      </c>
      <c r="K16" s="30">
        <f t="shared" si="2"/>
        <v>46062</v>
      </c>
      <c r="L16" s="31">
        <v>9</v>
      </c>
      <c r="M16" s="32" t="s">
        <v>11</v>
      </c>
      <c r="N16" s="32">
        <v>0</v>
      </c>
      <c r="O16" s="32" t="s">
        <v>12</v>
      </c>
      <c r="P16" s="32">
        <v>18</v>
      </c>
      <c r="Q16" s="32" t="s">
        <v>11</v>
      </c>
      <c r="R16" s="40">
        <v>0</v>
      </c>
      <c r="S16" s="68">
        <v>1</v>
      </c>
      <c r="T16" s="43">
        <f t="shared" si="3"/>
        <v>8</v>
      </c>
      <c r="U16" s="44">
        <f t="shared" si="4"/>
        <v>0</v>
      </c>
      <c r="W16" s="1">
        <f>COUNTIF(祝日!$B$2:$B$18,J16)</f>
        <v>0</v>
      </c>
    </row>
    <row r="17" spans="2:23" ht="18" customHeight="1">
      <c r="B17" s="11">
        <f t="shared" si="5"/>
        <v>46063</v>
      </c>
      <c r="C17" s="12">
        <f t="shared" si="0"/>
        <v>46063</v>
      </c>
      <c r="D17" s="13">
        <f t="shared" si="1"/>
        <v>480</v>
      </c>
      <c r="E17" s="79" t="s">
        <v>18</v>
      </c>
      <c r="F17" s="80"/>
      <c r="G17" s="81"/>
      <c r="J17" s="29">
        <f t="shared" si="6"/>
        <v>46063</v>
      </c>
      <c r="K17" s="30">
        <f t="shared" si="2"/>
        <v>46063</v>
      </c>
      <c r="L17" s="31">
        <v>9</v>
      </c>
      <c r="M17" s="32" t="s">
        <v>11</v>
      </c>
      <c r="N17" s="32">
        <v>0</v>
      </c>
      <c r="O17" s="32" t="s">
        <v>12</v>
      </c>
      <c r="P17" s="32">
        <v>18</v>
      </c>
      <c r="Q17" s="32" t="s">
        <v>11</v>
      </c>
      <c r="R17" s="40">
        <v>0</v>
      </c>
      <c r="S17" s="68">
        <v>1</v>
      </c>
      <c r="T17" s="43">
        <f t="shared" si="3"/>
        <v>8</v>
      </c>
      <c r="U17" s="44">
        <f t="shared" si="4"/>
        <v>0</v>
      </c>
      <c r="W17" s="1">
        <f>COUNTIF(祝日!$B$2:$B$18,J17)</f>
        <v>0</v>
      </c>
    </row>
    <row r="18" spans="2:23" ht="18" customHeight="1">
      <c r="B18" s="11">
        <f t="shared" si="5"/>
        <v>46064</v>
      </c>
      <c r="C18" s="12">
        <f t="shared" si="0"/>
        <v>46064</v>
      </c>
      <c r="D18" s="13">
        <f t="shared" si="1"/>
        <v>0</v>
      </c>
      <c r="E18" s="79"/>
      <c r="F18" s="80"/>
      <c r="G18" s="81"/>
      <c r="J18" s="29">
        <f t="shared" si="6"/>
        <v>46064</v>
      </c>
      <c r="K18" s="30">
        <f t="shared" si="2"/>
        <v>46064</v>
      </c>
      <c r="L18" s="31"/>
      <c r="M18" s="32" t="s">
        <v>11</v>
      </c>
      <c r="N18" s="32"/>
      <c r="O18" s="32" t="s">
        <v>12</v>
      </c>
      <c r="P18" s="32"/>
      <c r="Q18" s="32" t="s">
        <v>11</v>
      </c>
      <c r="R18" s="40"/>
      <c r="S18" s="68">
        <v>0</v>
      </c>
      <c r="T18" s="43">
        <f t="shared" si="3"/>
        <v>0</v>
      </c>
      <c r="U18" s="44">
        <f t="shared" si="4"/>
        <v>0</v>
      </c>
      <c r="W18" s="1">
        <f>COUNTIF(祝日!$B$2:$B$18,J18)</f>
        <v>1</v>
      </c>
    </row>
    <row r="19" spans="2:23" ht="18" customHeight="1">
      <c r="B19" s="11">
        <f t="shared" si="5"/>
        <v>46065</v>
      </c>
      <c r="C19" s="12">
        <f t="shared" si="0"/>
        <v>46065</v>
      </c>
      <c r="D19" s="13">
        <f t="shared" si="1"/>
        <v>480</v>
      </c>
      <c r="E19" s="79" t="s">
        <v>18</v>
      </c>
      <c r="F19" s="80"/>
      <c r="G19" s="81"/>
      <c r="J19" s="29">
        <f t="shared" si="6"/>
        <v>46065</v>
      </c>
      <c r="K19" s="30">
        <f t="shared" si="2"/>
        <v>46065</v>
      </c>
      <c r="L19" s="31">
        <v>9</v>
      </c>
      <c r="M19" s="32" t="s">
        <v>11</v>
      </c>
      <c r="N19" s="32">
        <v>0</v>
      </c>
      <c r="O19" s="32" t="s">
        <v>12</v>
      </c>
      <c r="P19" s="32">
        <v>18</v>
      </c>
      <c r="Q19" s="32" t="s">
        <v>11</v>
      </c>
      <c r="R19" s="40">
        <v>0</v>
      </c>
      <c r="S19" s="68">
        <v>1</v>
      </c>
      <c r="T19" s="43">
        <f t="shared" si="3"/>
        <v>8</v>
      </c>
      <c r="U19" s="44">
        <f t="shared" si="4"/>
        <v>0</v>
      </c>
      <c r="W19" s="1">
        <f>COUNTIF(祝日!$B$2:$B$18,J19)</f>
        <v>0</v>
      </c>
    </row>
    <row r="20" spans="2:23" ht="18" customHeight="1">
      <c r="B20" s="11">
        <f t="shared" si="5"/>
        <v>46066</v>
      </c>
      <c r="C20" s="12">
        <f t="shared" si="0"/>
        <v>46066</v>
      </c>
      <c r="D20" s="13">
        <f t="shared" si="1"/>
        <v>480</v>
      </c>
      <c r="E20" s="79" t="s">
        <v>18</v>
      </c>
      <c r="F20" s="80"/>
      <c r="G20" s="81"/>
      <c r="J20" s="29">
        <f t="shared" si="6"/>
        <v>46066</v>
      </c>
      <c r="K20" s="30">
        <f t="shared" si="2"/>
        <v>46066</v>
      </c>
      <c r="L20" s="31">
        <v>9</v>
      </c>
      <c r="M20" s="32" t="s">
        <v>11</v>
      </c>
      <c r="N20" s="32">
        <v>0</v>
      </c>
      <c r="O20" s="32" t="s">
        <v>12</v>
      </c>
      <c r="P20" s="32">
        <v>18</v>
      </c>
      <c r="Q20" s="32" t="s">
        <v>11</v>
      </c>
      <c r="R20" s="40">
        <v>0</v>
      </c>
      <c r="S20" s="68">
        <v>1</v>
      </c>
      <c r="T20" s="43">
        <f t="shared" ref="T20:T22" si="9">ROUNDDOWN(D20/60,0)</f>
        <v>8</v>
      </c>
      <c r="U20" s="44">
        <f t="shared" ref="U20:U22" si="10">D20-(T20*60)</f>
        <v>0</v>
      </c>
      <c r="W20" s="1">
        <f>COUNTIF(祝日!$B$2:$B$18,J20)</f>
        <v>0</v>
      </c>
    </row>
    <row r="21" spans="2:23" ht="18" customHeight="1">
      <c r="B21" s="11">
        <f t="shared" si="5"/>
        <v>46067</v>
      </c>
      <c r="C21" s="12">
        <f t="shared" si="0"/>
        <v>46067</v>
      </c>
      <c r="D21" s="13">
        <f t="shared" si="1"/>
        <v>0</v>
      </c>
      <c r="E21" s="79"/>
      <c r="F21" s="80"/>
      <c r="G21" s="81"/>
      <c r="J21" s="29">
        <f t="shared" si="6"/>
        <v>46067</v>
      </c>
      <c r="K21" s="30">
        <f t="shared" si="2"/>
        <v>46067</v>
      </c>
      <c r="L21" s="31"/>
      <c r="M21" s="32" t="s">
        <v>11</v>
      </c>
      <c r="N21" s="32"/>
      <c r="O21" s="32" t="s">
        <v>12</v>
      </c>
      <c r="P21" s="32"/>
      <c r="Q21" s="32" t="s">
        <v>11</v>
      </c>
      <c r="R21" s="40"/>
      <c r="S21" s="68">
        <v>0</v>
      </c>
      <c r="T21" s="43">
        <f t="shared" si="9"/>
        <v>0</v>
      </c>
      <c r="U21" s="44">
        <f t="shared" si="10"/>
        <v>0</v>
      </c>
      <c r="W21" s="1">
        <f>COUNTIF(祝日!$B$2:$B$18,J21)</f>
        <v>0</v>
      </c>
    </row>
    <row r="22" spans="2:23" ht="18" customHeight="1">
      <c r="B22" s="11">
        <f t="shared" si="5"/>
        <v>46068</v>
      </c>
      <c r="C22" s="12">
        <f t="shared" si="0"/>
        <v>46068</v>
      </c>
      <c r="D22" s="13">
        <f t="shared" si="1"/>
        <v>0</v>
      </c>
      <c r="E22" s="79"/>
      <c r="F22" s="80"/>
      <c r="G22" s="81"/>
      <c r="J22" s="29">
        <f t="shared" si="6"/>
        <v>46068</v>
      </c>
      <c r="K22" s="30">
        <f t="shared" si="2"/>
        <v>46068</v>
      </c>
      <c r="L22" s="31"/>
      <c r="M22" s="32" t="s">
        <v>11</v>
      </c>
      <c r="N22" s="32"/>
      <c r="O22" s="32" t="s">
        <v>12</v>
      </c>
      <c r="P22" s="32"/>
      <c r="Q22" s="32" t="s">
        <v>11</v>
      </c>
      <c r="R22" s="40"/>
      <c r="S22" s="68">
        <v>0</v>
      </c>
      <c r="T22" s="43">
        <f t="shared" si="9"/>
        <v>0</v>
      </c>
      <c r="U22" s="44">
        <f t="shared" si="10"/>
        <v>0</v>
      </c>
      <c r="W22" s="1">
        <f>COUNTIF(祝日!$B$2:$B$18,J22)</f>
        <v>0</v>
      </c>
    </row>
    <row r="23" spans="2:23" ht="18" customHeight="1">
      <c r="B23" s="11">
        <f t="shared" si="5"/>
        <v>46069</v>
      </c>
      <c r="C23" s="12">
        <f t="shared" si="0"/>
        <v>46069</v>
      </c>
      <c r="D23" s="13">
        <f t="shared" si="1"/>
        <v>480</v>
      </c>
      <c r="E23" s="79" t="s">
        <v>18</v>
      </c>
      <c r="F23" s="80"/>
      <c r="G23" s="81"/>
      <c r="J23" s="29">
        <f t="shared" si="6"/>
        <v>46069</v>
      </c>
      <c r="K23" s="30">
        <f t="shared" si="2"/>
        <v>46069</v>
      </c>
      <c r="L23" s="31">
        <v>9</v>
      </c>
      <c r="M23" s="32" t="s">
        <v>11</v>
      </c>
      <c r="N23" s="32">
        <v>0</v>
      </c>
      <c r="O23" s="32" t="s">
        <v>12</v>
      </c>
      <c r="P23" s="32">
        <v>18</v>
      </c>
      <c r="Q23" s="32" t="s">
        <v>11</v>
      </c>
      <c r="R23" s="40">
        <v>0</v>
      </c>
      <c r="S23" s="68">
        <v>1</v>
      </c>
      <c r="T23" s="43">
        <f t="shared" si="3"/>
        <v>8</v>
      </c>
      <c r="U23" s="44">
        <f t="shared" si="4"/>
        <v>0</v>
      </c>
      <c r="W23" s="1">
        <f>COUNTIF(祝日!$B$2:$B$18,J23)</f>
        <v>0</v>
      </c>
    </row>
    <row r="24" spans="2:23" ht="18" customHeight="1">
      <c r="B24" s="11">
        <f t="shared" si="5"/>
        <v>46070</v>
      </c>
      <c r="C24" s="12">
        <f t="shared" si="0"/>
        <v>46070</v>
      </c>
      <c r="D24" s="13">
        <f t="shared" si="1"/>
        <v>480</v>
      </c>
      <c r="E24" s="79" t="s">
        <v>18</v>
      </c>
      <c r="F24" s="80"/>
      <c r="G24" s="81"/>
      <c r="J24" s="29">
        <f t="shared" si="6"/>
        <v>46070</v>
      </c>
      <c r="K24" s="30">
        <f t="shared" si="2"/>
        <v>46070</v>
      </c>
      <c r="L24" s="31">
        <v>9</v>
      </c>
      <c r="M24" s="32" t="s">
        <v>11</v>
      </c>
      <c r="N24" s="32">
        <v>0</v>
      </c>
      <c r="O24" s="32" t="s">
        <v>12</v>
      </c>
      <c r="P24" s="32">
        <v>18</v>
      </c>
      <c r="Q24" s="32" t="s">
        <v>11</v>
      </c>
      <c r="R24" s="40">
        <v>0</v>
      </c>
      <c r="S24" s="68">
        <v>1</v>
      </c>
      <c r="T24" s="43">
        <f t="shared" si="3"/>
        <v>8</v>
      </c>
      <c r="U24" s="44">
        <f t="shared" si="4"/>
        <v>0</v>
      </c>
      <c r="W24" s="1">
        <f>COUNTIF(祝日!$B$2:$B$18,J24)</f>
        <v>0</v>
      </c>
    </row>
    <row r="25" spans="2:23" ht="18" customHeight="1">
      <c r="B25" s="11">
        <f t="shared" si="5"/>
        <v>46071</v>
      </c>
      <c r="C25" s="12">
        <f t="shared" si="0"/>
        <v>46071</v>
      </c>
      <c r="D25" s="13">
        <f t="shared" si="1"/>
        <v>480</v>
      </c>
      <c r="E25" s="79" t="s">
        <v>18</v>
      </c>
      <c r="F25" s="80"/>
      <c r="G25" s="81"/>
      <c r="J25" s="29">
        <f t="shared" si="6"/>
        <v>46071</v>
      </c>
      <c r="K25" s="30">
        <f t="shared" si="2"/>
        <v>46071</v>
      </c>
      <c r="L25" s="31">
        <v>9</v>
      </c>
      <c r="M25" s="32" t="s">
        <v>11</v>
      </c>
      <c r="N25" s="32">
        <v>0</v>
      </c>
      <c r="O25" s="32" t="s">
        <v>12</v>
      </c>
      <c r="P25" s="32">
        <v>18</v>
      </c>
      <c r="Q25" s="32" t="s">
        <v>11</v>
      </c>
      <c r="R25" s="40">
        <v>0</v>
      </c>
      <c r="S25" s="68">
        <v>1</v>
      </c>
      <c r="T25" s="43">
        <f t="shared" si="3"/>
        <v>8</v>
      </c>
      <c r="U25" s="44">
        <f t="shared" si="4"/>
        <v>0</v>
      </c>
      <c r="W25" s="1">
        <f>COUNTIF(祝日!$B$2:$B$18,J25)</f>
        <v>0</v>
      </c>
    </row>
    <row r="26" spans="2:23" ht="18" customHeight="1">
      <c r="B26" s="11">
        <f t="shared" si="5"/>
        <v>46072</v>
      </c>
      <c r="C26" s="12">
        <f t="shared" si="0"/>
        <v>46072</v>
      </c>
      <c r="D26" s="13">
        <f t="shared" si="1"/>
        <v>480</v>
      </c>
      <c r="E26" s="79" t="s">
        <v>18</v>
      </c>
      <c r="F26" s="80"/>
      <c r="G26" s="81"/>
      <c r="J26" s="29">
        <f t="shared" si="6"/>
        <v>46072</v>
      </c>
      <c r="K26" s="30">
        <f t="shared" si="2"/>
        <v>46072</v>
      </c>
      <c r="L26" s="31">
        <v>9</v>
      </c>
      <c r="M26" s="32" t="s">
        <v>11</v>
      </c>
      <c r="N26" s="32">
        <v>0</v>
      </c>
      <c r="O26" s="32" t="s">
        <v>12</v>
      </c>
      <c r="P26" s="32">
        <v>18</v>
      </c>
      <c r="Q26" s="32" t="s">
        <v>11</v>
      </c>
      <c r="R26" s="40">
        <v>0</v>
      </c>
      <c r="S26" s="68">
        <v>1</v>
      </c>
      <c r="T26" s="43">
        <f t="shared" si="3"/>
        <v>8</v>
      </c>
      <c r="U26" s="44">
        <f t="shared" si="4"/>
        <v>0</v>
      </c>
      <c r="W26" s="1">
        <f>COUNTIF(祝日!$B$2:$B$18,J26)</f>
        <v>0</v>
      </c>
    </row>
    <row r="27" spans="2:23" ht="18" customHeight="1">
      <c r="B27" s="11">
        <f t="shared" si="5"/>
        <v>46073</v>
      </c>
      <c r="C27" s="12">
        <f t="shared" si="0"/>
        <v>46073</v>
      </c>
      <c r="D27" s="13">
        <f t="shared" si="1"/>
        <v>480</v>
      </c>
      <c r="E27" s="79" t="s">
        <v>18</v>
      </c>
      <c r="F27" s="80"/>
      <c r="G27" s="81"/>
      <c r="J27" s="29">
        <f t="shared" si="6"/>
        <v>46073</v>
      </c>
      <c r="K27" s="30">
        <f t="shared" si="2"/>
        <v>46073</v>
      </c>
      <c r="L27" s="31">
        <v>9</v>
      </c>
      <c r="M27" s="32" t="s">
        <v>11</v>
      </c>
      <c r="N27" s="32">
        <v>0</v>
      </c>
      <c r="O27" s="32" t="s">
        <v>12</v>
      </c>
      <c r="P27" s="32">
        <v>18</v>
      </c>
      <c r="Q27" s="32" t="s">
        <v>11</v>
      </c>
      <c r="R27" s="40">
        <v>0</v>
      </c>
      <c r="S27" s="68">
        <v>1</v>
      </c>
      <c r="T27" s="43">
        <f t="shared" ref="T27:T28" si="11">ROUNDDOWN(D27/60,0)</f>
        <v>8</v>
      </c>
      <c r="U27" s="44">
        <f t="shared" ref="U27:U28" si="12">D27-(T27*60)</f>
        <v>0</v>
      </c>
      <c r="W27" s="1">
        <f>COUNTIF(祝日!$B$2:$B$18,J27)</f>
        <v>0</v>
      </c>
    </row>
    <row r="28" spans="2:23" ht="18" customHeight="1">
      <c r="B28" s="11">
        <f t="shared" si="5"/>
        <v>46074</v>
      </c>
      <c r="C28" s="12">
        <f t="shared" si="0"/>
        <v>46074</v>
      </c>
      <c r="D28" s="14">
        <f t="shared" si="1"/>
        <v>0</v>
      </c>
      <c r="E28" s="79"/>
      <c r="F28" s="80"/>
      <c r="G28" s="81"/>
      <c r="J28" s="29">
        <f t="shared" si="6"/>
        <v>46074</v>
      </c>
      <c r="K28" s="30">
        <f t="shared" si="2"/>
        <v>46074</v>
      </c>
      <c r="L28" s="31"/>
      <c r="M28" s="32" t="s">
        <v>11</v>
      </c>
      <c r="N28" s="32"/>
      <c r="O28" s="32" t="s">
        <v>12</v>
      </c>
      <c r="P28" s="32"/>
      <c r="Q28" s="32" t="s">
        <v>11</v>
      </c>
      <c r="R28" s="40"/>
      <c r="S28" s="68">
        <v>0</v>
      </c>
      <c r="T28" s="43">
        <f t="shared" si="11"/>
        <v>0</v>
      </c>
      <c r="U28" s="44">
        <f t="shared" si="12"/>
        <v>0</v>
      </c>
      <c r="W28" s="1">
        <f>COUNTIF(祝日!$B$2:$B$18,J28)</f>
        <v>0</v>
      </c>
    </row>
    <row r="29" spans="2:23" ht="18" customHeight="1">
      <c r="B29" s="11">
        <f t="shared" si="5"/>
        <v>46075</v>
      </c>
      <c r="C29" s="12">
        <f t="shared" si="0"/>
        <v>46075</v>
      </c>
      <c r="D29" s="13">
        <f t="shared" si="1"/>
        <v>0</v>
      </c>
      <c r="E29" s="79"/>
      <c r="F29" s="80"/>
      <c r="G29" s="81"/>
      <c r="J29" s="29">
        <f t="shared" si="6"/>
        <v>46075</v>
      </c>
      <c r="K29" s="30">
        <f t="shared" si="2"/>
        <v>46075</v>
      </c>
      <c r="L29" s="31"/>
      <c r="M29" s="32" t="s">
        <v>11</v>
      </c>
      <c r="N29" s="32"/>
      <c r="O29" s="32" t="s">
        <v>12</v>
      </c>
      <c r="P29" s="32"/>
      <c r="Q29" s="32" t="s">
        <v>11</v>
      </c>
      <c r="R29" s="40"/>
      <c r="S29" s="68">
        <v>0</v>
      </c>
      <c r="T29" s="43">
        <f t="shared" si="3"/>
        <v>0</v>
      </c>
      <c r="U29" s="44">
        <f t="shared" si="4"/>
        <v>0</v>
      </c>
      <c r="W29" s="1">
        <f>COUNTIF(祝日!$B$2:$B$18,J29)</f>
        <v>0</v>
      </c>
    </row>
    <row r="30" spans="2:23" ht="18" customHeight="1">
      <c r="B30" s="11">
        <f t="shared" si="5"/>
        <v>46076</v>
      </c>
      <c r="C30" s="12">
        <f t="shared" si="0"/>
        <v>46076</v>
      </c>
      <c r="D30" s="14">
        <f t="shared" si="1"/>
        <v>0</v>
      </c>
      <c r="E30" s="79"/>
      <c r="F30" s="80"/>
      <c r="G30" s="81"/>
      <c r="J30" s="29">
        <f t="shared" si="6"/>
        <v>46076</v>
      </c>
      <c r="K30" s="30">
        <f t="shared" si="2"/>
        <v>46076</v>
      </c>
      <c r="L30" s="31"/>
      <c r="M30" s="32" t="s">
        <v>11</v>
      </c>
      <c r="N30" s="32"/>
      <c r="O30" s="32" t="s">
        <v>12</v>
      </c>
      <c r="P30" s="32"/>
      <c r="Q30" s="32" t="s">
        <v>11</v>
      </c>
      <c r="R30" s="40"/>
      <c r="S30" s="68">
        <v>0</v>
      </c>
      <c r="T30" s="43">
        <f t="shared" si="3"/>
        <v>0</v>
      </c>
      <c r="U30" s="44">
        <f t="shared" si="4"/>
        <v>0</v>
      </c>
      <c r="W30" s="1">
        <f>COUNTIF(祝日!$B$2:$B$18,J30)</f>
        <v>1</v>
      </c>
    </row>
    <row r="31" spans="2:23" ht="18" customHeight="1">
      <c r="B31" s="11">
        <f t="shared" si="5"/>
        <v>46077</v>
      </c>
      <c r="C31" s="12">
        <f t="shared" si="0"/>
        <v>46077</v>
      </c>
      <c r="D31" s="13">
        <f t="shared" si="1"/>
        <v>480</v>
      </c>
      <c r="E31" s="79" t="s">
        <v>18</v>
      </c>
      <c r="F31" s="80"/>
      <c r="G31" s="81"/>
      <c r="J31" s="29">
        <f t="shared" si="6"/>
        <v>46077</v>
      </c>
      <c r="K31" s="30">
        <f t="shared" si="2"/>
        <v>46077</v>
      </c>
      <c r="L31" s="31">
        <v>9</v>
      </c>
      <c r="M31" s="32" t="s">
        <v>11</v>
      </c>
      <c r="N31" s="32">
        <v>0</v>
      </c>
      <c r="O31" s="32" t="s">
        <v>12</v>
      </c>
      <c r="P31" s="32">
        <v>18</v>
      </c>
      <c r="Q31" s="32" t="s">
        <v>11</v>
      </c>
      <c r="R31" s="40">
        <v>0</v>
      </c>
      <c r="S31" s="68">
        <v>1</v>
      </c>
      <c r="T31" s="43">
        <f t="shared" si="3"/>
        <v>8</v>
      </c>
      <c r="U31" s="44">
        <f t="shared" si="4"/>
        <v>0</v>
      </c>
      <c r="W31" s="1">
        <f>COUNTIF(祝日!$B$2:$B$18,J31)</f>
        <v>0</v>
      </c>
    </row>
    <row r="32" spans="2:23" ht="18" customHeight="1">
      <c r="B32" s="11">
        <f t="shared" si="5"/>
        <v>46078</v>
      </c>
      <c r="C32" s="12">
        <f t="shared" si="0"/>
        <v>46078</v>
      </c>
      <c r="D32" s="13">
        <f t="shared" si="1"/>
        <v>480</v>
      </c>
      <c r="E32" s="79" t="s">
        <v>18</v>
      </c>
      <c r="F32" s="80"/>
      <c r="G32" s="81"/>
      <c r="J32" s="29">
        <f t="shared" si="6"/>
        <v>46078</v>
      </c>
      <c r="K32" s="30">
        <f t="shared" si="2"/>
        <v>46078</v>
      </c>
      <c r="L32" s="31">
        <v>9</v>
      </c>
      <c r="M32" s="32" t="s">
        <v>11</v>
      </c>
      <c r="N32" s="32">
        <v>0</v>
      </c>
      <c r="O32" s="32" t="s">
        <v>12</v>
      </c>
      <c r="P32" s="32">
        <v>18</v>
      </c>
      <c r="Q32" s="32" t="s">
        <v>11</v>
      </c>
      <c r="R32" s="40">
        <v>0</v>
      </c>
      <c r="S32" s="68">
        <v>1</v>
      </c>
      <c r="T32" s="43">
        <f t="shared" si="3"/>
        <v>8</v>
      </c>
      <c r="U32" s="44">
        <f t="shared" si="4"/>
        <v>0</v>
      </c>
      <c r="W32" s="1">
        <f>COUNTIF(祝日!$B$2:$B$18,J32)</f>
        <v>0</v>
      </c>
    </row>
    <row r="33" spans="2:23" ht="18" customHeight="1">
      <c r="B33" s="11">
        <f t="shared" si="5"/>
        <v>46079</v>
      </c>
      <c r="C33" s="12">
        <f t="shared" si="0"/>
        <v>46079</v>
      </c>
      <c r="D33" s="13">
        <f t="shared" si="1"/>
        <v>480</v>
      </c>
      <c r="E33" s="79" t="s">
        <v>18</v>
      </c>
      <c r="F33" s="80"/>
      <c r="G33" s="81"/>
      <c r="J33" s="29">
        <f t="shared" si="6"/>
        <v>46079</v>
      </c>
      <c r="K33" s="30">
        <f t="shared" si="2"/>
        <v>46079</v>
      </c>
      <c r="L33" s="31">
        <v>9</v>
      </c>
      <c r="M33" s="32" t="s">
        <v>11</v>
      </c>
      <c r="N33" s="32">
        <v>0</v>
      </c>
      <c r="O33" s="32" t="s">
        <v>12</v>
      </c>
      <c r="P33" s="32">
        <v>18</v>
      </c>
      <c r="Q33" s="32" t="s">
        <v>11</v>
      </c>
      <c r="R33" s="40">
        <v>0</v>
      </c>
      <c r="S33" s="68">
        <v>1</v>
      </c>
      <c r="T33" s="43">
        <f t="shared" si="3"/>
        <v>8</v>
      </c>
      <c r="U33" s="44">
        <f t="shared" si="4"/>
        <v>0</v>
      </c>
      <c r="W33" s="1">
        <f>COUNTIF(祝日!$B$2:$B$18,J33)</f>
        <v>0</v>
      </c>
    </row>
    <row r="34" spans="2:23" ht="18" customHeight="1">
      <c r="B34" s="11">
        <f t="shared" si="5"/>
        <v>46080</v>
      </c>
      <c r="C34" s="12">
        <f t="shared" si="0"/>
        <v>46080</v>
      </c>
      <c r="D34" s="13">
        <f t="shared" si="1"/>
        <v>480</v>
      </c>
      <c r="E34" s="79" t="s">
        <v>18</v>
      </c>
      <c r="F34" s="80"/>
      <c r="G34" s="81"/>
      <c r="J34" s="29">
        <f t="shared" si="6"/>
        <v>46080</v>
      </c>
      <c r="K34" s="30">
        <f t="shared" si="2"/>
        <v>46080</v>
      </c>
      <c r="L34" s="31">
        <v>9</v>
      </c>
      <c r="M34" s="32" t="s">
        <v>11</v>
      </c>
      <c r="N34" s="32">
        <v>0</v>
      </c>
      <c r="O34" s="32" t="s">
        <v>12</v>
      </c>
      <c r="P34" s="32">
        <v>18</v>
      </c>
      <c r="Q34" s="32" t="s">
        <v>11</v>
      </c>
      <c r="R34" s="40">
        <v>0</v>
      </c>
      <c r="S34" s="68">
        <v>1</v>
      </c>
      <c r="T34" s="43">
        <f t="shared" ref="T34:T35" si="13">ROUNDDOWN(D34/60,0)</f>
        <v>8</v>
      </c>
      <c r="U34" s="44">
        <f t="shared" ref="U34:U35" si="14">D34-(T34*60)</f>
        <v>0</v>
      </c>
      <c r="W34" s="1">
        <f>COUNTIF(祝日!$B$2:$B$18,J34)</f>
        <v>0</v>
      </c>
    </row>
    <row r="35" spans="2:23" ht="18" customHeight="1">
      <c r="B35" s="11">
        <f t="shared" si="5"/>
        <v>46081</v>
      </c>
      <c r="C35" s="12">
        <f t="shared" si="0"/>
        <v>46081</v>
      </c>
      <c r="D35" s="13">
        <f t="shared" si="1"/>
        <v>0</v>
      </c>
      <c r="E35" s="79"/>
      <c r="F35" s="80"/>
      <c r="G35" s="81"/>
      <c r="J35" s="29">
        <f t="shared" si="6"/>
        <v>46081</v>
      </c>
      <c r="K35" s="30">
        <f t="shared" si="2"/>
        <v>46081</v>
      </c>
      <c r="L35" s="31"/>
      <c r="M35" s="32" t="s">
        <v>11</v>
      </c>
      <c r="N35" s="32"/>
      <c r="O35" s="32" t="s">
        <v>12</v>
      </c>
      <c r="P35" s="32"/>
      <c r="Q35" s="32" t="s">
        <v>11</v>
      </c>
      <c r="R35" s="40"/>
      <c r="S35" s="68">
        <v>0</v>
      </c>
      <c r="T35" s="43">
        <f t="shared" si="13"/>
        <v>0</v>
      </c>
      <c r="U35" s="44">
        <f t="shared" si="14"/>
        <v>0</v>
      </c>
      <c r="W35" s="1">
        <f>COUNTIF(祝日!$B$2:$B$18,J35)</f>
        <v>0</v>
      </c>
    </row>
    <row r="36" spans="2:23" ht="18" customHeight="1">
      <c r="B36" s="11" t="str">
        <f>IF(MONTH(B$35+1)=MONTH(B$35),B$35+1,"")</f>
        <v/>
      </c>
      <c r="C36" s="12" t="str">
        <f t="shared" si="0"/>
        <v/>
      </c>
      <c r="D36" s="13">
        <f t="shared" si="1"/>
        <v>0</v>
      </c>
      <c r="E36" s="79"/>
      <c r="F36" s="80"/>
      <c r="G36" s="81"/>
      <c r="J36" s="29" t="str">
        <f>IF(MONTH(J$35+1)=MONTH(J$35),J$35+1,"")</f>
        <v/>
      </c>
      <c r="K36" s="30" t="str">
        <f t="shared" si="2"/>
        <v/>
      </c>
      <c r="L36" s="31"/>
      <c r="M36" s="32" t="s">
        <v>11</v>
      </c>
      <c r="N36" s="32"/>
      <c r="O36" s="32" t="s">
        <v>12</v>
      </c>
      <c r="P36" s="32"/>
      <c r="Q36" s="32" t="s">
        <v>11</v>
      </c>
      <c r="R36" s="40"/>
      <c r="S36" s="68">
        <v>0</v>
      </c>
      <c r="T36" s="41">
        <f t="shared" si="3"/>
        <v>0</v>
      </c>
      <c r="U36" s="42">
        <f t="shared" si="4"/>
        <v>0</v>
      </c>
      <c r="W36" s="1">
        <f>COUNTIF(祝日!$B$2:$B$18,J36)</f>
        <v>0</v>
      </c>
    </row>
    <row r="37" spans="2:23" ht="18" customHeight="1">
      <c r="B37" s="11" t="str">
        <f>IF(MONTH(B$35+2)=MONTH(B$35),B$35+2,"")</f>
        <v/>
      </c>
      <c r="C37" s="12" t="str">
        <f t="shared" si="0"/>
        <v/>
      </c>
      <c r="D37" s="13">
        <f t="shared" si="1"/>
        <v>0</v>
      </c>
      <c r="E37" s="79"/>
      <c r="F37" s="80"/>
      <c r="G37" s="81"/>
      <c r="J37" s="29" t="str">
        <f>IF(MONTH(J$35+2)=MONTH(J$35),J$35+2,"")</f>
        <v/>
      </c>
      <c r="K37" s="30" t="str">
        <f t="shared" si="2"/>
        <v/>
      </c>
      <c r="L37" s="31"/>
      <c r="M37" s="32" t="s">
        <v>11</v>
      </c>
      <c r="N37" s="32"/>
      <c r="O37" s="32" t="s">
        <v>12</v>
      </c>
      <c r="P37" s="32"/>
      <c r="Q37" s="32" t="s">
        <v>11</v>
      </c>
      <c r="R37" s="40"/>
      <c r="S37" s="68">
        <v>0</v>
      </c>
      <c r="T37" s="41">
        <f t="shared" si="3"/>
        <v>0</v>
      </c>
      <c r="U37" s="42">
        <f t="shared" si="4"/>
        <v>0</v>
      </c>
      <c r="W37" s="1">
        <f>COUNTIF(祝日!$B$2:$B$18,J37)</f>
        <v>0</v>
      </c>
    </row>
    <row r="38" spans="2:23" ht="18" customHeight="1">
      <c r="B38" s="15" t="str">
        <f>IF(MONTH(B$35+3)=MONTH(B$35),B$35+3,"")</f>
        <v/>
      </c>
      <c r="C38" s="16" t="str">
        <f t="shared" si="0"/>
        <v/>
      </c>
      <c r="D38" s="17">
        <f t="shared" si="1"/>
        <v>0</v>
      </c>
      <c r="E38" s="79"/>
      <c r="F38" s="80"/>
      <c r="G38" s="81"/>
      <c r="J38" s="33" t="str">
        <f>IF(MONTH(J$35+3)=MONTH(J$35),J$35+3,"")</f>
        <v/>
      </c>
      <c r="K38" s="34" t="str">
        <f t="shared" si="2"/>
        <v/>
      </c>
      <c r="L38" s="31"/>
      <c r="M38" s="32" t="s">
        <v>11</v>
      </c>
      <c r="N38" s="32"/>
      <c r="O38" s="32" t="s">
        <v>12</v>
      </c>
      <c r="P38" s="32"/>
      <c r="Q38" s="32" t="s">
        <v>11</v>
      </c>
      <c r="R38" s="40"/>
      <c r="S38" s="68">
        <v>0</v>
      </c>
      <c r="T38" s="45">
        <f t="shared" si="3"/>
        <v>0</v>
      </c>
      <c r="U38" s="46">
        <f t="shared" si="4"/>
        <v>0</v>
      </c>
      <c r="W38" s="1">
        <f>COUNTIF(祝日!$B$2:$B$18,J38)</f>
        <v>0</v>
      </c>
    </row>
    <row r="39" spans="2:23" ht="18" customHeight="1" thickBot="1">
      <c r="B39" s="18"/>
      <c r="C39" s="19"/>
      <c r="D39" s="20"/>
      <c r="E39" s="21"/>
      <c r="F39" s="21"/>
      <c r="G39" s="21"/>
      <c r="J39" s="18"/>
      <c r="K39" s="19"/>
      <c r="L39" s="35"/>
      <c r="M39" s="36"/>
      <c r="N39" s="35"/>
      <c r="O39" s="37"/>
      <c r="P39" s="35"/>
      <c r="Q39" s="36"/>
      <c r="R39" s="35"/>
      <c r="S39" s="47"/>
      <c r="T39" s="48"/>
      <c r="U39" s="49"/>
    </row>
    <row r="40" spans="2:23" ht="18" customHeight="1" thickBot="1">
      <c r="B40" s="22"/>
      <c r="C40" s="22"/>
      <c r="E40" s="76">
        <f>SUM(D8:D38)</f>
        <v>8640</v>
      </c>
      <c r="F40" s="77"/>
    </row>
    <row r="41" spans="2:23" ht="18" customHeight="1" thickBot="1">
      <c r="D41" s="23"/>
      <c r="E41" s="24">
        <f>ROUNDDOWN(E40/60,0)</f>
        <v>144</v>
      </c>
      <c r="F41" s="25">
        <f>E40-E41*60</f>
        <v>0</v>
      </c>
      <c r="L41" s="38"/>
      <c r="M41" s="38"/>
      <c r="N41" s="38"/>
      <c r="O41" s="38"/>
      <c r="P41" s="38"/>
      <c r="Q41" s="38"/>
      <c r="R41" s="38"/>
      <c r="S41" s="26"/>
      <c r="T41" s="50"/>
      <c r="U41" s="51"/>
    </row>
    <row r="42" spans="2:23" ht="18" customHeight="1" thickBot="1">
      <c r="D42" s="26"/>
      <c r="E42" s="76">
        <f>COUNTIF(D8:D38,"&gt;0")</f>
        <v>18</v>
      </c>
      <c r="F42" s="77"/>
      <c r="M42" s="39"/>
      <c r="N42" s="39"/>
      <c r="O42" s="39"/>
      <c r="P42" s="39"/>
      <c r="Q42" s="39"/>
      <c r="R42" s="39"/>
      <c r="S42" s="52"/>
      <c r="T42" s="53"/>
      <c r="U42" s="54"/>
    </row>
  </sheetData>
  <mergeCells count="39">
    <mergeCell ref="T7:U7"/>
    <mergeCell ref="N3:O3"/>
    <mergeCell ref="D4:E4"/>
    <mergeCell ref="D5:E5"/>
    <mergeCell ref="E7:G7"/>
    <mergeCell ref="L7:R7"/>
    <mergeCell ref="E19:G19"/>
    <mergeCell ref="E8:G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31:G31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E29:G29"/>
    <mergeCell ref="E30:G30"/>
    <mergeCell ref="E38:G38"/>
    <mergeCell ref="E40:F40"/>
    <mergeCell ref="E42:F42"/>
    <mergeCell ref="E32:G32"/>
    <mergeCell ref="E33:G33"/>
    <mergeCell ref="E34:G34"/>
    <mergeCell ref="E35:G35"/>
    <mergeCell ref="E36:G36"/>
    <mergeCell ref="E37:G37"/>
  </mergeCells>
  <phoneticPr fontId="12"/>
  <conditionalFormatting sqref="B8:D38">
    <cfRule type="expression" dxfId="23" priority="38" stopIfTrue="1">
      <formula>OR(WEEKDAY($B8,2)&gt;5,$W8&gt;0)</formula>
    </cfRule>
  </conditionalFormatting>
  <conditionalFormatting sqref="E22:G22 E36:G38 E29:G30">
    <cfRule type="expression" dxfId="22" priority="36" stopIfTrue="1">
      <formula>OR(WEEKDAY($B22,2)&gt;5,$W22&gt;0)</formula>
    </cfRule>
  </conditionalFormatting>
  <conditionalFormatting sqref="E14:G14">
    <cfRule type="expression" dxfId="21" priority="35" stopIfTrue="1">
      <formula>OR(WEEKDAY($B14,2)&gt;5,$W14&gt;0)</formula>
    </cfRule>
  </conditionalFormatting>
  <conditionalFormatting sqref="E15:G15">
    <cfRule type="expression" dxfId="20" priority="34" stopIfTrue="1">
      <formula>OR(WEEKDAY($B15,2)&gt;5,$W15&gt;0)</formula>
    </cfRule>
  </conditionalFormatting>
  <conditionalFormatting sqref="E9:G9">
    <cfRule type="expression" dxfId="19" priority="30" stopIfTrue="1">
      <formula>OR(WEEKDAY($B9,2)&gt;5,$W9&gt;0)</formula>
    </cfRule>
  </conditionalFormatting>
  <conditionalFormatting sqref="E18:G18">
    <cfRule type="expression" dxfId="18" priority="29" stopIfTrue="1">
      <formula>OR(WEEKDAY($B18,2)&gt;5,$W18&gt;0)</formula>
    </cfRule>
  </conditionalFormatting>
  <conditionalFormatting sqref="E21:G21">
    <cfRule type="expression" dxfId="17" priority="26" stopIfTrue="1">
      <formula>OR(WEEKDAY($B21,2)&gt;5,$W21&gt;0)</formula>
    </cfRule>
  </conditionalFormatting>
  <conditionalFormatting sqref="E28:G28">
    <cfRule type="expression" dxfId="16" priority="21" stopIfTrue="1">
      <formula>OR(WEEKDAY($B28,2)&gt;5,$W28&gt;0)</formula>
    </cfRule>
  </conditionalFormatting>
  <conditionalFormatting sqref="E35:G35">
    <cfRule type="expression" dxfId="15" priority="16" stopIfTrue="1">
      <formula>OR(WEEKDAY($B35,2)&gt;5,$W35&gt;0)</formula>
    </cfRule>
  </conditionalFormatting>
  <conditionalFormatting sqref="E8:G8">
    <cfRule type="expression" dxfId="14" priority="15" stopIfTrue="1">
      <formula>OR(WEEKDAY($B8,2)&gt;5,$W8&gt;0)</formula>
    </cfRule>
  </conditionalFormatting>
  <conditionalFormatting sqref="E10:G10">
    <cfRule type="expression" dxfId="13" priority="14" stopIfTrue="1">
      <formula>OR(WEEKDAY($B10,2)&gt;5,$W10&gt;0)</formula>
    </cfRule>
  </conditionalFormatting>
  <conditionalFormatting sqref="E11:G11">
    <cfRule type="expression" dxfId="12" priority="13" stopIfTrue="1">
      <formula>OR(WEEKDAY($B11,2)&gt;5,$W11&gt;0)</formula>
    </cfRule>
  </conditionalFormatting>
  <conditionalFormatting sqref="E12:G12">
    <cfRule type="expression" dxfId="11" priority="12" stopIfTrue="1">
      <formula>OR(WEEKDAY($B12,2)&gt;5,$W12&gt;0)</formula>
    </cfRule>
  </conditionalFormatting>
  <conditionalFormatting sqref="E13:G13">
    <cfRule type="expression" dxfId="10" priority="11" stopIfTrue="1">
      <formula>OR(WEEKDAY($B13,2)&gt;5,$W13&gt;0)</formula>
    </cfRule>
  </conditionalFormatting>
  <conditionalFormatting sqref="E16:G16">
    <cfRule type="expression" dxfId="9" priority="10" stopIfTrue="1">
      <formula>OR(WEEKDAY($B16,2)&gt;5,$W16&gt;0)</formula>
    </cfRule>
  </conditionalFormatting>
  <conditionalFormatting sqref="E17:G17">
    <cfRule type="expression" dxfId="8" priority="9" stopIfTrue="1">
      <formula>OR(WEEKDAY($B17,2)&gt;5,$W17&gt;0)</formula>
    </cfRule>
  </conditionalFormatting>
  <conditionalFormatting sqref="E19:G19">
    <cfRule type="expression" dxfId="7" priority="8" stopIfTrue="1">
      <formula>OR(WEEKDAY($B19,2)&gt;5,$W19&gt;0)</formula>
    </cfRule>
  </conditionalFormatting>
  <conditionalFormatting sqref="E20:G20">
    <cfRule type="expression" dxfId="6" priority="7" stopIfTrue="1">
      <formula>OR(WEEKDAY($B20,2)&gt;5,$W20&gt;0)</formula>
    </cfRule>
  </conditionalFormatting>
  <conditionalFormatting sqref="E23:G23">
    <cfRule type="expression" dxfId="5" priority="6" stopIfTrue="1">
      <formula>OR(WEEKDAY($B23,2)&gt;5,$W23&gt;0)</formula>
    </cfRule>
  </conditionalFormatting>
  <conditionalFormatting sqref="E24:G24">
    <cfRule type="expression" dxfId="4" priority="5" stopIfTrue="1">
      <formula>OR(WEEKDAY($B24,2)&gt;5,$W24&gt;0)</formula>
    </cfRule>
  </conditionalFormatting>
  <conditionalFormatting sqref="E25:G25">
    <cfRule type="expression" dxfId="3" priority="4" stopIfTrue="1">
      <formula>OR(WEEKDAY($B25,2)&gt;5,$W25&gt;0)</formula>
    </cfRule>
  </conditionalFormatting>
  <conditionalFormatting sqref="E26:G26">
    <cfRule type="expression" dxfId="2" priority="3" stopIfTrue="1">
      <formula>OR(WEEKDAY($B26,2)&gt;5,$W26&gt;0)</formula>
    </cfRule>
  </conditionalFormatting>
  <conditionalFormatting sqref="E27:G27">
    <cfRule type="expression" dxfId="1" priority="2" stopIfTrue="1">
      <formula>OR(WEEKDAY($B27,2)&gt;5,$W27&gt;0)</formula>
    </cfRule>
  </conditionalFormatting>
  <conditionalFormatting sqref="E31:G34">
    <cfRule type="expression" dxfId="0" priority="1" stopIfTrue="1">
      <formula>OR(WEEKDAY($B31,2)&gt;5,$W31&gt;0)</formula>
    </cfRule>
  </conditionalFormatting>
  <pageMargins left="0.39370078740157499" right="0.39370078740157499" top="0.511811023622047" bottom="0.43307086614173201" header="0.35433070866141703" footer="0.23622047244094499"/>
  <pageSetup paperSize="9" scale="9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tNextMonth">
                <anchor moveWithCells="1" sizeWithCells="1">
                  <from>
                    <xdr:col>9</xdr:col>
                    <xdr:colOff>304800</xdr:colOff>
                    <xdr:row>1</xdr:row>
                    <xdr:rowOff>333375</xdr:rowOff>
                  </from>
                  <to>
                    <xdr:col>12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etLastMonth">
                <anchor moveWithCells="1" sizeWithCells="1">
                  <from>
                    <xdr:col>13</xdr:col>
                    <xdr:colOff>419100</xdr:colOff>
                    <xdr:row>1</xdr:row>
                    <xdr:rowOff>342900</xdr:rowOff>
                  </from>
                  <to>
                    <xdr:col>17</xdr:col>
                    <xdr:colOff>285750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pen_Myform">
                <anchor moveWithCells="1" sizeWithCells="1">
                  <from>
                    <xdr:col>9</xdr:col>
                    <xdr:colOff>314325</xdr:colOff>
                    <xdr:row>3</xdr:row>
                    <xdr:rowOff>238125</xdr:rowOff>
                  </from>
                  <to>
                    <xdr:col>12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50"/>
  <sheetViews>
    <sheetView workbookViewId="0">
      <selection activeCell="B5" sqref="B5"/>
    </sheetView>
  </sheetViews>
  <sheetFormatPr defaultColWidth="9" defaultRowHeight="18.75"/>
  <cols>
    <col min="2" max="2" width="14.125" customWidth="1"/>
    <col min="3" max="3" width="18.25" customWidth="1"/>
    <col min="9" max="9" width="13.125" customWidth="1"/>
  </cols>
  <sheetData>
    <row r="1" spans="2:9" ht="19.5" thickBot="1"/>
    <row r="2" spans="2:9">
      <c r="B2" s="57">
        <v>46023</v>
      </c>
      <c r="C2" s="58" t="s">
        <v>19</v>
      </c>
      <c r="E2" s="64" t="s">
        <v>20</v>
      </c>
      <c r="F2" s="64" t="s">
        <v>21</v>
      </c>
      <c r="I2" s="66" t="s">
        <v>22</v>
      </c>
    </row>
    <row r="3" spans="2:9">
      <c r="B3" s="59">
        <v>46034</v>
      </c>
      <c r="C3" s="60" t="s">
        <v>23</v>
      </c>
      <c r="E3" s="64" t="s">
        <v>24</v>
      </c>
      <c r="F3" s="64" t="s">
        <v>25</v>
      </c>
      <c r="I3" s="65" t="s">
        <v>26</v>
      </c>
    </row>
    <row r="4" spans="2:9">
      <c r="B4" s="59">
        <v>46064</v>
      </c>
      <c r="C4" s="60" t="s">
        <v>27</v>
      </c>
      <c r="E4" s="64" t="s">
        <v>28</v>
      </c>
      <c r="F4" s="64" t="s">
        <v>29</v>
      </c>
      <c r="I4" s="65" t="s">
        <v>30</v>
      </c>
    </row>
    <row r="5" spans="2:9">
      <c r="B5" s="59">
        <v>46076</v>
      </c>
      <c r="C5" s="60" t="s">
        <v>31</v>
      </c>
      <c r="E5" s="64" t="s">
        <v>32</v>
      </c>
      <c r="F5" s="64" t="s">
        <v>33</v>
      </c>
      <c r="I5" s="65" t="s">
        <v>34</v>
      </c>
    </row>
    <row r="6" spans="2:9">
      <c r="B6" s="59">
        <v>46101</v>
      </c>
      <c r="C6" s="60" t="s">
        <v>35</v>
      </c>
      <c r="E6" s="64" t="s">
        <v>36</v>
      </c>
      <c r="F6" s="64" t="s">
        <v>37</v>
      </c>
      <c r="I6" s="65" t="s">
        <v>38</v>
      </c>
    </row>
    <row r="7" spans="2:9">
      <c r="B7" s="59">
        <v>46141</v>
      </c>
      <c r="C7" s="60" t="s">
        <v>39</v>
      </c>
      <c r="E7" s="64" t="s">
        <v>40</v>
      </c>
      <c r="F7" s="64" t="s">
        <v>41</v>
      </c>
      <c r="I7" s="65" t="s">
        <v>42</v>
      </c>
    </row>
    <row r="8" spans="2:9">
      <c r="B8" s="59">
        <v>46146</v>
      </c>
      <c r="C8" s="60" t="s">
        <v>43</v>
      </c>
      <c r="E8" s="64" t="s">
        <v>44</v>
      </c>
      <c r="F8" s="64" t="s">
        <v>45</v>
      </c>
      <c r="I8" s="65" t="s">
        <v>46</v>
      </c>
    </row>
    <row r="9" spans="2:9">
      <c r="B9" s="59">
        <v>46147</v>
      </c>
      <c r="C9" s="60" t="s">
        <v>47</v>
      </c>
      <c r="E9" s="64" t="s">
        <v>48</v>
      </c>
      <c r="F9" s="64" t="s">
        <v>49</v>
      </c>
      <c r="I9" s="65" t="s">
        <v>46</v>
      </c>
    </row>
    <row r="10" spans="2:9">
      <c r="B10" s="59">
        <v>46148</v>
      </c>
      <c r="C10" s="60" t="s">
        <v>50</v>
      </c>
      <c r="E10" s="64" t="s">
        <v>51</v>
      </c>
      <c r="F10" s="64" t="s">
        <v>52</v>
      </c>
      <c r="I10" s="65" t="s">
        <v>46</v>
      </c>
    </row>
    <row r="11" spans="2:9">
      <c r="B11" s="59">
        <v>46223</v>
      </c>
      <c r="C11" s="60" t="s">
        <v>53</v>
      </c>
      <c r="E11" s="64" t="s">
        <v>54</v>
      </c>
      <c r="F11" s="64" t="s">
        <v>55</v>
      </c>
    </row>
    <row r="12" spans="2:9">
      <c r="B12" s="59">
        <v>46245</v>
      </c>
      <c r="C12" s="60" t="s">
        <v>56</v>
      </c>
      <c r="E12" s="64" t="s">
        <v>57</v>
      </c>
      <c r="F12" s="64" t="s">
        <v>58</v>
      </c>
    </row>
    <row r="13" spans="2:9">
      <c r="B13" s="59">
        <v>46286</v>
      </c>
      <c r="C13" s="60" t="s">
        <v>59</v>
      </c>
      <c r="E13" s="64" t="s">
        <v>60</v>
      </c>
      <c r="F13" s="64" t="s">
        <v>61</v>
      </c>
    </row>
    <row r="14" spans="2:9">
      <c r="B14" s="59">
        <v>46288</v>
      </c>
      <c r="C14" s="60" t="s">
        <v>62</v>
      </c>
      <c r="E14" s="64" t="s">
        <v>63</v>
      </c>
      <c r="F14" s="64" t="s">
        <v>44</v>
      </c>
    </row>
    <row r="15" spans="2:9">
      <c r="B15" s="59">
        <v>46287</v>
      </c>
      <c r="C15" s="60" t="s">
        <v>64</v>
      </c>
      <c r="E15" s="64" t="s">
        <v>65</v>
      </c>
      <c r="F15" s="64" t="s">
        <v>48</v>
      </c>
    </row>
    <row r="16" spans="2:9">
      <c r="B16" s="59">
        <v>46307</v>
      </c>
      <c r="C16" s="60" t="s">
        <v>66</v>
      </c>
      <c r="E16" s="64" t="s">
        <v>67</v>
      </c>
      <c r="F16" s="64" t="s">
        <v>51</v>
      </c>
    </row>
    <row r="17" spans="2:6">
      <c r="B17" s="59">
        <v>46329</v>
      </c>
      <c r="C17" s="60" t="s">
        <v>68</v>
      </c>
      <c r="E17" s="64" t="s">
        <v>69</v>
      </c>
      <c r="F17" s="64" t="s">
        <v>54</v>
      </c>
    </row>
    <row r="18" spans="2:6">
      <c r="B18" s="59">
        <v>46349</v>
      </c>
      <c r="C18" s="60" t="s">
        <v>70</v>
      </c>
      <c r="E18" s="64" t="s">
        <v>71</v>
      </c>
      <c r="F18" s="64" t="s">
        <v>57</v>
      </c>
    </row>
    <row r="19" spans="2:6">
      <c r="E19" s="64" t="s">
        <v>72</v>
      </c>
      <c r="F19" s="64" t="s">
        <v>60</v>
      </c>
    </row>
    <row r="20" spans="2:6">
      <c r="E20" s="64" t="s">
        <v>73</v>
      </c>
      <c r="F20" s="64" t="s">
        <v>63</v>
      </c>
    </row>
    <row r="21" spans="2:6">
      <c r="E21" s="64" t="s">
        <v>25</v>
      </c>
      <c r="F21" s="64" t="s">
        <v>65</v>
      </c>
    </row>
    <row r="22" spans="2:6">
      <c r="E22" s="64" t="s">
        <v>29</v>
      </c>
      <c r="F22" s="64" t="s">
        <v>67</v>
      </c>
    </row>
    <row r="23" spans="2:6">
      <c r="E23" s="64" t="s">
        <v>33</v>
      </c>
      <c r="F23" s="64" t="s">
        <v>69</v>
      </c>
    </row>
    <row r="24" spans="2:6">
      <c r="E24" s="64" t="s">
        <v>37</v>
      </c>
      <c r="F24" s="64" t="s">
        <v>71</v>
      </c>
    </row>
    <row r="25" spans="2:6">
      <c r="E25" s="64" t="s">
        <v>41</v>
      </c>
      <c r="F25" s="64" t="s">
        <v>72</v>
      </c>
    </row>
    <row r="26" spans="2:6">
      <c r="E26" s="64" t="s">
        <v>45</v>
      </c>
      <c r="F26" s="64"/>
    </row>
    <row r="27" spans="2:6">
      <c r="E27" s="64" t="s">
        <v>49</v>
      </c>
      <c r="F27" s="64"/>
    </row>
    <row r="28" spans="2:6">
      <c r="E28" s="64" t="s">
        <v>52</v>
      </c>
      <c r="F28" s="64"/>
    </row>
    <row r="29" spans="2:6">
      <c r="E29" s="64" t="s">
        <v>55</v>
      </c>
      <c r="F29" s="64"/>
    </row>
    <row r="30" spans="2:6">
      <c r="E30" s="64" t="s">
        <v>58</v>
      </c>
      <c r="F30" s="64"/>
    </row>
    <row r="31" spans="2:6">
      <c r="E31" s="64" t="s">
        <v>61</v>
      </c>
      <c r="F31" s="64"/>
    </row>
    <row r="32" spans="2:6">
      <c r="E32" s="63"/>
    </row>
    <row r="33" spans="5:5">
      <c r="E33" s="62"/>
    </row>
    <row r="34" spans="5:5">
      <c r="E34" s="62"/>
    </row>
    <row r="35" spans="5:5">
      <c r="E35" s="62"/>
    </row>
    <row r="36" spans="5:5">
      <c r="E36" s="62"/>
    </row>
    <row r="37" spans="5:5">
      <c r="E37" s="62"/>
    </row>
    <row r="38" spans="5:5">
      <c r="E38" s="62"/>
    </row>
    <row r="39" spans="5:5">
      <c r="E39" s="62"/>
    </row>
    <row r="40" spans="5:5">
      <c r="E40" s="62"/>
    </row>
    <row r="41" spans="5:5">
      <c r="E41" s="62"/>
    </row>
    <row r="42" spans="5:5">
      <c r="E42" s="62"/>
    </row>
    <row r="43" spans="5:5">
      <c r="E43" s="62"/>
    </row>
    <row r="44" spans="5:5">
      <c r="E44" s="62"/>
    </row>
    <row r="45" spans="5:5">
      <c r="E45" s="62"/>
    </row>
    <row r="46" spans="5:5">
      <c r="E46" s="62"/>
    </row>
    <row r="47" spans="5:5">
      <c r="E47" s="62"/>
    </row>
    <row r="48" spans="5:5">
      <c r="E48" s="62"/>
    </row>
    <row r="49" spans="5:5">
      <c r="E49" s="62"/>
    </row>
    <row r="50" spans="5:5">
      <c r="E50" s="62"/>
    </row>
  </sheetData>
  <phoneticPr fontId="12"/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EC1CFE1BF88B4B87CEA40E37302457" ma:contentTypeVersion="12" ma:contentTypeDescription="Create a new document." ma:contentTypeScope="" ma:versionID="a72ce559b779000c29696ea574bca94a">
  <xsd:schema xmlns:xsd="http://www.w3.org/2001/XMLSchema" xmlns:xs="http://www.w3.org/2001/XMLSchema" xmlns:p="http://schemas.microsoft.com/office/2006/metadata/properties" xmlns:ns2="1559b136-a2a6-43af-a88c-65bb07d1a558" xmlns:ns3="d7f79fe0-042d-4f6e-8599-0e24d77ef569" targetNamespace="http://schemas.microsoft.com/office/2006/metadata/properties" ma:root="true" ma:fieldsID="ba5e7d446c307dbc397200bafc680054" ns2:_="" ns3:_="">
    <xsd:import namespace="1559b136-a2a6-43af-a88c-65bb07d1a558"/>
    <xsd:import namespace="d7f79fe0-042d-4f6e-8599-0e24d77ef5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_x30e1__x30e2_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59b136-a2a6-43af-a88c-65bb07d1a5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_x30e1__x30e2_" ma:index="15" nillable="true" ma:displayName="メモ" ma:description="基本はこれは使わないでください。AMSから参考資料と言われています（三根" ma:format="Dropdown" ma:internalName="_x30e1__x30e2_">
      <xsd:simpleType>
        <xsd:restriction base="dms:Text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229866f-c1b6-4f56-80d3-0186ed97566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f79fe0-042d-4f6e-8599-0e24d77ef56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e63b71a-5425-4976-bd17-2b3be62e7929}" ma:internalName="TaxCatchAll" ma:showField="CatchAllData" ma:web="d7f79fe0-042d-4f6e-8599-0e24d77ef5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30e1__x30e2_ xmlns="1559b136-a2a6-43af-a88c-65bb07d1a558" xsi:nil="true"/>
    <lcf76f155ced4ddcb4097134ff3c332f xmlns="1559b136-a2a6-43af-a88c-65bb07d1a558">
      <Terms xmlns="http://schemas.microsoft.com/office/infopath/2007/PartnerControls"/>
    </lcf76f155ced4ddcb4097134ff3c332f>
    <TaxCatchAll xmlns="d7f79fe0-042d-4f6e-8599-0e24d77ef569" xsi:nil="true"/>
  </documentManagement>
</p:properties>
</file>

<file path=customXml/itemProps1.xml><?xml version="1.0" encoding="utf-8"?>
<ds:datastoreItem xmlns:ds="http://schemas.openxmlformats.org/officeDocument/2006/customXml" ds:itemID="{88D29B3D-86A0-4D9D-AAFC-AABC776DFA2A}"/>
</file>

<file path=customXml/itemProps2.xml><?xml version="1.0" encoding="utf-8"?>
<ds:datastoreItem xmlns:ds="http://schemas.openxmlformats.org/officeDocument/2006/customXml" ds:itemID="{04CA3678-F895-4B92-81DA-B55BD6650645}"/>
</file>

<file path=customXml/itemProps3.xml><?xml version="1.0" encoding="utf-8"?>
<ds:datastoreItem xmlns:ds="http://schemas.openxmlformats.org/officeDocument/2006/customXml" ds:itemID="{A99E82CE-F2DD-4B25-ACF9-2F9787BC706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岸本晋輔</dc:creator>
  <cp:keywords/>
  <dc:description/>
  <cp:lastModifiedBy>前野 謙</cp:lastModifiedBy>
  <cp:revision/>
  <dcterms:created xsi:type="dcterms:W3CDTF">2015-06-05T18:19:00Z</dcterms:created>
  <dcterms:modified xsi:type="dcterms:W3CDTF">2026-02-23T23:57:55Z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2440A0966A974ADC972AC6765E1F6A75</vt:lpwstr>
  </property>
  <property fmtid="{D5CDD505-2E9C-101B-9397-08002B2CF9AE}" pid="3" name="KSOProductBuildVer">
    <vt:lpwstr>2052-11.1.0.10938</vt:lpwstr>
  </property>
  <property fmtid="{D5CDD505-2E9C-101B-9397-08002B2CF9AE}" pid="4" name="ContentTypeId">
    <vt:lpwstr>0x010100F3EC1CFE1BF88B4B87CEA40E37302457</vt:lpwstr>
  </property>
  <property fmtid="{D5CDD505-2E9C-101B-9397-08002B2CF9AE}" pid="5" name="MediaServiceImageTags">
    <vt:lpwstr/>
  </property>
</Properties>
</file>